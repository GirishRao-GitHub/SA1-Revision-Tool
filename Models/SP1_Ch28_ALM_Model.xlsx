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DETERMINISTIC" sheetId="2" state="visible" r:id="rId4"/>
    <sheet name="SIMULATION" sheetId="3" state="visible" r:id="rId5"/>
    <sheet name="CONCE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<sst xmlns="http://schemas.openxmlformats.org/spreadsheetml/2006/main" count="209" uniqueCount="155">
  <si>
    <t xml:space="preserve">SP1 Ch 28  |  ALM Investment Strategy Model  |  ASSUMPTIONS</t>
  </si>
  <si>
    <t xml:space="preserve">  Blue bold = user inputs   |   Black = formulas   |   Press F9 on SIMULATION sheet to regenerate paths</t>
  </si>
  <si>
    <t xml:space="preserve">SECTION 1: COMPANY &amp; LIABILITY PARAMETERS</t>
  </si>
  <si>
    <t xml:space="preserve">Initial Policy Reserves  (£000)</t>
  </si>
  <si>
    <t xml:space="preserve">Net reserve obligation at t=0. Most health products have LOW reserves (protection business).</t>
  </si>
  <si>
    <t xml:space="preserve">Free Assets  (£000)</t>
  </si>
  <si>
    <t xml:space="preserve">Excess of assets over reserves.  Acts as cushion — enables insurer to deviate from matched strategy.</t>
  </si>
  <si>
    <t xml:space="preserve">Total Assets  (£000)</t>
  </si>
  <si>
    <t xml:space="preserve">Formula: Reserves + Free Assets.</t>
  </si>
  <si>
    <t xml:space="preserve">Liability Growth Rate  (% pa)</t>
  </si>
  <si>
    <t xml:space="preserve">Reflects net outgo increasing as book ages (benefits+expenses &gt; premiums in later years). Use 5% as base.</t>
  </si>
  <si>
    <t xml:space="preserve">SCR Multiple  (threshold)</t>
  </si>
  <si>
    <t xml:space="preserve">Minimum solvency ratio required by regulator.  Insolvency triggered when Assets/Liabilities &lt; this.</t>
  </si>
  <si>
    <t xml:space="preserve">Projection Period  (years)</t>
  </si>
  <si>
    <t xml:space="preserve">Section 4.1: project liabilities and assets forward for this many years.</t>
  </si>
  <si>
    <t xml:space="preserve">Free Asset Proportion to Deploy</t>
  </si>
  <si>
    <t xml:space="preserve">KEY NUANCE (s.4.1 Q): shareholders may NOT want ALL free assets at risk. Rest earmarked for new biz/strain.</t>
  </si>
  <si>
    <t xml:space="preserve">SECTION 2: INVESTMENT STRATEGY PARAMETERS (Annual Return Assumptions)</t>
  </si>
  <si>
    <t xml:space="preserve">Parameter</t>
  </si>
  <si>
    <t xml:space="preserve">Notes / Exam relevance</t>
  </si>
  <si>
    <t xml:space="preserve">Conservative</t>
  </si>
  <si>
    <t xml:space="preserve">Balanced</t>
  </si>
  <si>
    <t xml:space="preserve">Aggressive</t>
  </si>
  <si>
    <t xml:space="preserve">Equity Allocation (%)</t>
  </si>
  <si>
    <t xml:space="preserve">Drives both expected return AND risk.</t>
  </si>
  <si>
    <t xml:space="preserve">Bond Allocation (%)</t>
  </si>
  <si>
    <t xml:space="preserve">100%-equity%.</t>
  </si>
  <si>
    <t xml:space="preserve">Equity Expected Return (pa)</t>
  </si>
  <si>
    <t xml:space="preserve">Assumed same across strategies — only mix differs.</t>
  </si>
  <si>
    <t xml:space="preserve">Equity Volatility (pa)</t>
  </si>
  <si>
    <t xml:space="preserve">High volatility → mismatch risk for guaranteed liabs.</t>
  </si>
  <si>
    <t xml:space="preserve">Bond Expected Return (pa)</t>
  </si>
  <si>
    <t xml:space="preserve">Low but predictable — good match for fixed liabilities.</t>
  </si>
  <si>
    <t xml:space="preserve">Bond Volatility (pa)</t>
  </si>
  <si>
    <t xml:space="preserve">Very low. Govt bonds = minimum risk matching asset.</t>
  </si>
  <si>
    <t xml:space="preserve">Equity-Bond Correlation</t>
  </si>
  <si>
    <t xml:space="preserve">Partial offset benefit — reduces combined portfolio vol.</t>
  </si>
  <si>
    <t xml:space="preserve">DERIVED METRICS  (auto-calculated)</t>
  </si>
  <si>
    <t xml:space="preserve">Portfolio Expected Return (pa)</t>
  </si>
  <si>
    <t xml:space="preserve">Weighted average of equity + bond returns.  Higher mix → higher return.</t>
  </si>
  <si>
    <t xml:space="preserve">Portfolio Volatility (pa)</t>
  </si>
  <si>
    <t xml:space="preserve">Portfolio vol formula (includes correlation benefit).  Higher equity → higher vol → more insolvency risk.</t>
  </si>
  <si>
    <t xml:space="preserve">DETERMINISTIC PROJECTION  |  Expected path (no randomness)  |  All 3 strategies vs Liabilities</t>
  </si>
  <si>
    <t xml:space="preserve">  Shows EXPECTED evolution under each strategy.  Use this to understand the average outcome before looking at uncertainty in SIMULATION.</t>
  </si>
  <si>
    <t xml:space="preserve">Year</t>
  </si>
  <si>
    <t xml:space="preserve">Liabilities
(£000)</t>
  </si>
  <si>
    <t xml:space="preserve">Conservative (20% eq)</t>
  </si>
  <si>
    <t xml:space="preserve">Balanced (50% eq)</t>
  </si>
  <si>
    <t xml:space="preserve">Aggressive (80% eq)</t>
  </si>
  <si>
    <t xml:space="preserve">Profit Measure (£000)</t>
  </si>
  <si>
    <t xml:space="preserve">Assets (£000)</t>
  </si>
  <si>
    <t xml:space="preserve">Solvency Ratio</t>
  </si>
  <si>
    <t xml:space="preserve">DETERMINISTIC SUMMARY (Year 20 outcomes)</t>
  </si>
  <si>
    <t xml:space="preserve">Metric</t>
  </si>
  <si>
    <t xml:space="preserve">Liabilities</t>
  </si>
  <si>
    <t xml:space="preserve">Conservative Assets</t>
  </si>
  <si>
    <t xml:space="preserve">Conservative Ratio</t>
  </si>
  <si>
    <t xml:space="preserve">Balanced Assets</t>
  </si>
  <si>
    <t xml:space="preserve">Balanced Ratio</t>
  </si>
  <si>
    <t xml:space="preserve">Aggressive Assets</t>
  </si>
  <si>
    <t xml:space="preserve">Aggressive Ratio</t>
  </si>
  <si>
    <t xml:space="preserve">Profit C</t>
  </si>
  <si>
    <t xml:space="preserve">Profit B</t>
  </si>
  <si>
    <t xml:space="preserve">Profit A</t>
  </si>
  <si>
    <t xml:space="preserve">Year 20</t>
  </si>
  <si>
    <t xml:space="preserve">STOCHASTIC SIMULATION  |  15 sample paths × 20 years  |  Solvency Ratio = Assets / Liabilities</t>
  </si>
  <si>
    <t xml:space="preserve">  Each path = one possible future driven by random investment returns (lognormal shocks).  This is the stochastic model office approach from Section 4.1.  Green = solvent (≥ SCR).  Red = INSOLVENT.</t>
  </si>
  <si>
    <t xml:space="preserve">Conservative (20% eq)  |  μ=4.00%  σ=3.67%</t>
  </si>
  <si>
    <t xml:space="preserve">Path 1</t>
  </si>
  <si>
    <t xml:space="preserve">Path 2</t>
  </si>
  <si>
    <t xml:space="preserve">Path 3</t>
  </si>
  <si>
    <t xml:space="preserve">Path 4</t>
  </si>
  <si>
    <t xml:space="preserve">Path 5</t>
  </si>
  <si>
    <t xml:space="preserve">Path 6</t>
  </si>
  <si>
    <t xml:space="preserve">Path 7</t>
  </si>
  <si>
    <t xml:space="preserve">Path 8</t>
  </si>
  <si>
    <t xml:space="preserve">Path 9</t>
  </si>
  <si>
    <t xml:space="preserve">Path 10</t>
  </si>
  <si>
    <t xml:space="preserve">Path 11</t>
  </si>
  <si>
    <t xml:space="preserve">Path 12</t>
  </si>
  <si>
    <t xml:space="preserve">Path 13</t>
  </si>
  <si>
    <t xml:space="preserve">Path 14</t>
  </si>
  <si>
    <t xml:space="preserve">Path 15</t>
  </si>
  <si>
    <t xml:space="preserve">Median
Ratio</t>
  </si>
  <si>
    <t xml:space="preserve"># Paths
Insolvent</t>
  </si>
  <si>
    <t xml:space="preserve">% Paths
Insolvent</t>
  </si>
  <si>
    <t xml:space="preserve">Balanced (50% eq)  |  μ=5.50%  σ=7.76%</t>
  </si>
  <si>
    <t xml:space="preserve">Aggressive (80% eq)  |  μ=7.00%  σ=12.09%</t>
  </si>
  <si>
    <t xml:space="preserve">SUMMARY: Risk-Return Trade-off  (Year 20 outcomes across all paths)</t>
  </si>
  <si>
    <t xml:space="preserve">Strategy</t>
  </si>
  <si>
    <t xml:space="preserve">Port. μ (pa)</t>
  </si>
  <si>
    <t xml:space="preserve">Port. σ (pa)</t>
  </si>
  <si>
    <t xml:space="preserve">Median Ratio Y20</t>
  </si>
  <si>
    <t xml:space="preserve">Min Ratio Y20</t>
  </si>
  <si>
    <t xml:space="preserve">Max Ratio Y20</t>
  </si>
  <si>
    <t xml:space="preserve"># Paths Insolvent
(any year)</t>
  </si>
  <si>
    <t xml:space="preserve">% Paths Insolvent
(any year)</t>
  </si>
  <si>
    <t xml:space="preserve">SP1 CH 28 SECTION 4  |  EXAM CONCEPTS &amp; NUANCES  |  Model Office Approach</t>
  </si>
  <si>
    <t xml:space="preserve">THE 6-STEP MODEL OFFICE APPROACH  (s.4.1)</t>
  </si>
  <si>
    <t xml:space="preserve">STEP 1</t>
  </si>
  <si>
    <t xml:space="preserve">Allocate free assets</t>
  </si>
  <si>
    <t xml:space="preserve">Decide what PROPORTION of free assets to deploy in backing the mismatched strategy. NOT all free assets — shareholders may want some held back for new business / strain. (See ASSUMPTIONS!B11)</t>
  </si>
  <si>
    <t xml:space="preserve">STEP 2</t>
  </si>
  <si>
    <t xml:space="preserve">Build &amp; project the model</t>
  </si>
  <si>
    <t xml:space="preserve">Use a MODEL OFFICE: project assets (stochastic investment model) and liabilities (deterministic or with inflation model) forward for the projection period. CRITICAL: Ensure consistency between inflation, interest rates, capital values and the valuation interest rate used for liabilities.</t>
  </si>
  <si>
    <t xml:space="preserve">STEP 3</t>
  </si>
  <si>
    <t xml:space="preserve">Check solvency each year</t>
  </si>
  <si>
    <t xml:space="preserve">At each year-end, check that (Assets − Liabilities) ≥ SCR × Liabilities. With modern computing, test solvency CONTINUOUSLY, not just annually. "Comfortable" cover is typically 2× minimum SCR (depends on regulator, market norms, brokers).</t>
  </si>
  <si>
    <t xml:space="preserve">STEP 4</t>
  </si>
  <si>
    <t xml:space="preserve">Calculate aggregate profitability</t>
  </si>
  <si>
    <t xml:space="preserve">For a PROPRIETARY company: measure present value of shareholder profit distributions. For a MUTUAL: measure via premium savings to policyholders. This is the reward side of the risk-return balance.</t>
  </si>
  <si>
    <t xml:space="preserve">STEP 5</t>
  </si>
  <si>
    <t xml:space="preserve">Repeat for different strategies</t>
  </si>
  <si>
    <t xml:space="preserve">Run steps 1-4 for MULTIPLE investment mixes (more equity, less equity, etc.). This is why the stochastic approach is needed: deterministic tells you expected path but only simulation reveals the DISTRIBUTION of outcomes and insolvency probability.</t>
  </si>
  <si>
    <t xml:space="preserve">STEP 6</t>
  </si>
  <si>
    <t xml:space="preserve">Select optimal strategy</t>
  </si>
  <si>
    <t xml:space="preserve">From all strategies with EQUAL insolvency risk (eg 1% probability), select the one with HIGHEST profitability. This operationalises the principle: "Maximise overall return on assets, subject to risk being within financial resources."</t>
  </si>
  <si>
    <t xml:space="preserve">KEY NUANCES — LIKELY EXAM MARKS</t>
  </si>
  <si>
    <t xml:space="preserve">Section</t>
  </si>
  <si>
    <t xml:space="preserve">Concept</t>
  </si>
  <si>
    <t xml:space="preserve">The nuance</t>
  </si>
  <si>
    <t xml:space="preserve">Why it matters for marks</t>
  </si>
  <si>
    <t xml:space="preserve">4.1</t>
  </si>
  <si>
    <t xml:space="preserve">Perfect matching NOT desirable (usually)</t>
  </si>
  <si>
    <t xml:space="preserve">It eliminates all possibility of investment profit — too conservative unless free assets near zero.</t>
  </si>
  <si>
    <t xml:space="preserve">Exam often asks WHY depart from matched portfolio. Answer = return maximisation.</t>
  </si>
  <si>
    <t xml:space="preserve">Do NOT deploy ALL free assets</t>
  </si>
  <si>
    <t xml:space="preserve">Shareholders may want some earmarked for new product development, new business financing strain, or other capital uses.</t>
  </si>
  <si>
    <t xml:space="preserve">Easy mark missed if you say "invest all free assets in risky assets."</t>
  </si>
  <si>
    <t xml:space="preserve">SCR may be strategy-dependent</t>
  </si>
  <si>
    <t xml:space="preserve">If the SCR is defined as a function of reserves, and the investment strategy affects valuation basis (eg higher yield reduces reserves), the SCR itself changes. Model must be internally consistent.</t>
  </si>
  <si>
    <t xml:space="preserve">Consistency is a recurring exam theme — always mention it.</t>
  </si>
  <si>
    <t xml:space="preserve">Modelling risk</t>
  </si>
  <si>
    <t xml:space="preserve">The conclusions are only as valid as the model and its parameterisation. Stochastic results are sensitive to distributional assumptions.</t>
  </si>
  <si>
    <t xml:space="preserve">Limitation question = always include model/parameter risk.</t>
  </si>
  <si>
    <t xml:space="preserve">4.2</t>
  </si>
  <si>
    <t xml:space="preserve">Fund manager assessment: 3 benchmarks</t>
  </si>
  <si>
    <t xml:space="preserve">(i) Target overall return; (ii) Risk actually taken; (iii) Peer comparison. Measure over SEVERAL periods to eliminate luck.</t>
  </si>
  <si>
    <t xml:space="preserve">All 3 benchmarks needed for full marks. Peer comparison often missed.</t>
  </si>
  <si>
    <t xml:space="preserve">4.3</t>
  </si>
  <si>
    <t xml:space="preserve">Liquidity ≠ matching</t>
  </si>
  <si>
    <t xml:space="preserve">Run-off book: claims become volatile as pool shrinks → need liquid assets even if liabilities by nature suggest longer-term. Reinsurance helps but gross claims paid first.</t>
  </si>
  <si>
    <t xml:space="preserve">Tension between matching (long assets) and liquidity (short/liquid assets) = exam favourite.</t>
  </si>
  <si>
    <t xml:space="preserve">4.4</t>
  </si>
  <si>
    <t xml:space="preserve">Investment enables competitive pricing</t>
  </si>
  <si>
    <t xml:space="preserve">Higher free assets → more mismatching permitted → higher expected return → lower premium rates OR more product features at same price. Particularly significant for LONG-TERM products (eg pre-funded LTCI) where reserves are material.</t>
  </si>
  <si>
    <t xml:space="preserve">Connects investment to pricing — cross-subject link.</t>
  </si>
  <si>
    <t xml:space="preserve">4.5</t>
  </si>
  <si>
    <t xml:space="preserve">Asset valuation: consistency principle</t>
  </si>
  <si>
    <t xml:space="preserve">Two methods: DCF (discount expected cashflows) or market value. CRITICAL: must be consistent with the liability valuation basis. PMI (short-term) → always market value. Long-term → either, but must match.</t>
  </si>
  <si>
    <t xml:space="preserve">Consistency = standard exam mark.</t>
  </si>
  <si>
    <t xml:space="preserve">4.6</t>
  </si>
  <si>
    <t xml:space="preserve">Treating customers fairly (TCF)</t>
  </si>
  <si>
    <t xml:space="preserve">Do NOT price assuming investment returns you may not achieve. If investment underperforms → premium increase at review → TCF breach. Exception: investment-linked products where return risk passes to policyholder.</t>
  </si>
  <si>
    <t xml:space="preserve">TCF link shows understanding of commercial/regulatory environment.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</si>
</sst>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"/>
    <numFmt numFmtId="166" formatCode="0.00%"/>
    <numFmt numFmtId="167" formatCode="0.00\x"/>
    <numFmt numFmtId="168" formatCode="0"/>
    <numFmt numFmtId="169" formatCode="0%"/>
    <numFmt numFmtId="170" formatCode="0.0%"/>
    <numFmt numFmtId="171" formatCode="#,##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sz val="9.5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D9D9D9"/>
      </patternFill>
    </fill>
    <fill>
      <patternFill patternType="solid">
        <fgColor rgb="FFFCE4D6"/>
        <bgColor rgb="FFFFE0E0"/>
      </patternFill>
    </fill>
    <fill>
      <patternFill patternType="solid">
        <fgColor rgb="FF17375E"/>
        <bgColor rgb="FF1F3864"/>
      </patternFill>
    </fill>
    <fill>
      <patternFill patternType="solid">
        <fgColor rgb="FFE2EFDA"/>
        <bgColor rgb="FFDEEAF1"/>
      </patternFill>
    </fill>
    <fill>
      <patternFill patternType="solid">
        <fgColor rgb="FFFFE0E0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5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0E0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64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Solvency Ratio by Strategy (Deterministic)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42284633"/>
        <c:axId val="7619013"/>
      </c:barChart>
      <c:catAx>
        <c:axId val="42284633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619013"/>
        <c:auto val="1"/>
        <c:lblAlgn val="ctr"/>
        <c:lblOffset val="100"/>
        <c:noMultiLvlLbl val="0"/>
      </c:catAx>
      <c:valAx>
        <c:axId val="7619013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2284633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Solvency Ratio Over Time (Stochastic)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10270798"/>
        <c:axId val="20591213"/>
      </c:barChart>
      <c:catAx>
        <c:axId val="10270798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0591213"/>
        <c:auto val="1"/>
        <c:lblAlgn val="ctr"/>
        <c:lblOffset val="100"/>
        <c:noMultiLvlLbl val="0"/>
      </c:catAx>
      <c:valAx>
        <c:axId val="20591213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0270798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8</xdr:col>
      <xdr:colOff>589320</xdr:colOff>
      <xdr:row>51</xdr:row>
      <xdr:rowOff>128520</xdr:rowOff>
    </xdr:to>
    <xdr:graphicFrame>
      <xdr:nvGraphicFramePr>
        <xdr:cNvPr id="0" name="Chart 1"/>
        <xdr:cNvGraphicFramePr/>
      </xdr:nvGraphicFramePr>
      <xdr:xfrm>
        <a:off x="0" y="62006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86</xdr:row>
      <xdr:rowOff>0</xdr:rowOff>
    </xdr:from>
    <xdr:to>
      <xdr:col>14</xdr:col>
      <xdr:colOff>166320</xdr:colOff>
      <xdr:row>110</xdr:row>
      <xdr:rowOff>107640</xdr:rowOff>
    </xdr:to>
    <xdr:graphicFrame>
      <xdr:nvGraphicFramePr>
        <xdr:cNvPr id="1" name="Chart 1"/>
        <xdr:cNvGraphicFramePr/>
      </xdr:nvGraphicFramePr>
      <xdr:xfrm>
        <a:off x="0" y="1862136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5" min="3" style="0" width="15"/>
    <col collapsed="false" customWidth="true" hidden="false" outlineLevel="0" max="8" min="6" style="0" width="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A5" s="4" t="s">
        <v>3</v>
      </c>
      <c r="B5" s="5" t="n">
        <v>1000</v>
      </c>
      <c r="C5" s="6" t="s">
        <v>4</v>
      </c>
    </row>
    <row r="6" customFormat="false" ht="21.75" hidden="false" customHeight="true" outlineLevel="0" collapsed="false">
      <c r="A6" s="4" t="s">
        <v>5</v>
      </c>
      <c r="B6" s="5" t="n">
        <v>200</v>
      </c>
      <c r="C6" s="6" t="s">
        <v>6</v>
      </c>
    </row>
    <row r="7" customFormat="false" ht="21.75" hidden="false" customHeight="true" outlineLevel="0" collapsed="false">
      <c r="A7" s="4" t="s">
        <v>7</v>
      </c>
      <c r="B7" s="7" t="n">
        <f aca="false">B5+B6</f>
        <v>1200</v>
      </c>
      <c r="C7" s="6" t="s">
        <v>8</v>
      </c>
    </row>
    <row r="8" customFormat="false" ht="21.75" hidden="false" customHeight="true" outlineLevel="0" collapsed="false">
      <c r="A8" s="4" t="s">
        <v>9</v>
      </c>
      <c r="B8" s="8" t="n">
        <v>0.05</v>
      </c>
      <c r="C8" s="6" t="s">
        <v>10</v>
      </c>
    </row>
    <row r="9" customFormat="false" ht="21.75" hidden="false" customHeight="true" outlineLevel="0" collapsed="false">
      <c r="A9" s="4" t="s">
        <v>11</v>
      </c>
      <c r="B9" s="9" t="n">
        <v>1.1</v>
      </c>
      <c r="C9" s="6" t="s">
        <v>12</v>
      </c>
    </row>
    <row r="10" customFormat="false" ht="21.75" hidden="false" customHeight="true" outlineLevel="0" collapsed="false">
      <c r="A10" s="4" t="s">
        <v>13</v>
      </c>
      <c r="B10" s="10" t="n">
        <v>20</v>
      </c>
      <c r="C10" s="6" t="s">
        <v>14</v>
      </c>
    </row>
    <row r="11" customFormat="false" ht="21.75" hidden="false" customHeight="true" outlineLevel="0" collapsed="false">
      <c r="A11" s="4" t="s">
        <v>15</v>
      </c>
      <c r="B11" s="11" t="n">
        <v>0.7</v>
      </c>
      <c r="C11" s="6" t="s">
        <v>16</v>
      </c>
    </row>
    <row r="12" customFormat="false" ht="6" hidden="false" customHeight="true" outlineLevel="0" collapsed="false"/>
    <row r="13" customFormat="false" ht="21.75" hidden="false" customHeight="true" outlineLevel="0" collapsed="false">
      <c r="A13" s="3" t="s">
        <v>17</v>
      </c>
      <c r="B13" s="3"/>
      <c r="C13" s="3"/>
      <c r="D13" s="3"/>
      <c r="E13" s="3"/>
      <c r="F13" s="3"/>
      <c r="G13" s="3"/>
      <c r="H13" s="3"/>
    </row>
    <row r="14" customFormat="false" ht="19.5" hidden="false" customHeight="true" outlineLevel="0" collapsed="false">
      <c r="A14" s="12" t="s">
        <v>18</v>
      </c>
      <c r="B14" s="13" t="s">
        <v>19</v>
      </c>
      <c r="C14" s="14" t="s">
        <v>20</v>
      </c>
      <c r="D14" s="15" t="s">
        <v>21</v>
      </c>
      <c r="E14" s="16" t="s">
        <v>22</v>
      </c>
    </row>
    <row r="15" customFormat="false" ht="19.5" hidden="false" customHeight="true" outlineLevel="0" collapsed="false">
      <c r="A15" s="4" t="s">
        <v>23</v>
      </c>
      <c r="B15" s="6" t="s">
        <v>24</v>
      </c>
      <c r="C15" s="17" t="n">
        <v>0.2</v>
      </c>
      <c r="D15" s="17" t="n">
        <v>0.5</v>
      </c>
      <c r="E15" s="17" t="n">
        <v>0.8</v>
      </c>
    </row>
    <row r="16" customFormat="false" ht="19.5" hidden="false" customHeight="true" outlineLevel="0" collapsed="false">
      <c r="A16" s="4" t="s">
        <v>25</v>
      </c>
      <c r="B16" s="6" t="s">
        <v>26</v>
      </c>
      <c r="C16" s="17" t="n">
        <v>0.8</v>
      </c>
      <c r="D16" s="17" t="n">
        <v>0.5</v>
      </c>
      <c r="E16" s="17" t="n">
        <v>0.2</v>
      </c>
    </row>
    <row r="17" customFormat="false" ht="19.5" hidden="false" customHeight="true" outlineLevel="0" collapsed="false">
      <c r="A17" s="4" t="s">
        <v>27</v>
      </c>
      <c r="B17" s="6" t="s">
        <v>28</v>
      </c>
      <c r="C17" s="17" t="n">
        <v>0.08</v>
      </c>
      <c r="D17" s="17" t="n">
        <v>0.08</v>
      </c>
      <c r="E17" s="17" t="n">
        <v>0.08</v>
      </c>
    </row>
    <row r="18" customFormat="false" ht="19.5" hidden="false" customHeight="true" outlineLevel="0" collapsed="false">
      <c r="A18" s="4" t="s">
        <v>29</v>
      </c>
      <c r="B18" s="6" t="s">
        <v>30</v>
      </c>
      <c r="C18" s="17" t="n">
        <v>0.15</v>
      </c>
      <c r="D18" s="17" t="n">
        <v>0.15</v>
      </c>
      <c r="E18" s="17" t="n">
        <v>0.15</v>
      </c>
    </row>
    <row r="19" customFormat="false" ht="19.5" hidden="false" customHeight="true" outlineLevel="0" collapsed="false">
      <c r="A19" s="4" t="s">
        <v>31</v>
      </c>
      <c r="B19" s="6" t="s">
        <v>32</v>
      </c>
      <c r="C19" s="17" t="n">
        <v>0.03</v>
      </c>
      <c r="D19" s="17" t="n">
        <v>0.03</v>
      </c>
      <c r="E19" s="17" t="n">
        <v>0.03</v>
      </c>
    </row>
    <row r="20" customFormat="false" ht="19.5" hidden="false" customHeight="true" outlineLevel="0" collapsed="false">
      <c r="A20" s="4" t="s">
        <v>33</v>
      </c>
      <c r="B20" s="6" t="s">
        <v>34</v>
      </c>
      <c r="C20" s="17" t="n">
        <v>0.02</v>
      </c>
      <c r="D20" s="17" t="n">
        <v>0.02</v>
      </c>
      <c r="E20" s="17" t="n">
        <v>0.02</v>
      </c>
    </row>
    <row r="21" customFormat="false" ht="19.5" hidden="false" customHeight="true" outlineLevel="0" collapsed="false">
      <c r="A21" s="4" t="s">
        <v>35</v>
      </c>
      <c r="B21" s="6" t="s">
        <v>36</v>
      </c>
      <c r="C21" s="17" t="n">
        <v>0.2</v>
      </c>
      <c r="D21" s="17" t="n">
        <v>0.2</v>
      </c>
      <c r="E21" s="17" t="n">
        <v>0.2</v>
      </c>
    </row>
    <row r="22" customFormat="false" ht="7.5" hidden="false" customHeight="true" outlineLevel="0" collapsed="false"/>
    <row r="23" customFormat="false" ht="19.5" hidden="false" customHeight="true" outlineLevel="0" collapsed="false">
      <c r="A23" s="18" t="s">
        <v>37</v>
      </c>
      <c r="B23" s="18"/>
      <c r="C23" s="18"/>
      <c r="D23" s="18"/>
      <c r="E23" s="18"/>
      <c r="F23" s="18"/>
      <c r="G23" s="18"/>
      <c r="H23" s="18"/>
    </row>
    <row r="24" customFormat="false" ht="21.75" hidden="false" customHeight="true" outlineLevel="0" collapsed="false">
      <c r="A24" s="12" t="s">
        <v>38</v>
      </c>
      <c r="B24" s="6" t="s">
        <v>39</v>
      </c>
      <c r="C24" s="19" t="n">
        <f aca="false">C15*C17+C16*C19</f>
        <v>0.04</v>
      </c>
      <c r="D24" s="19" t="n">
        <f aca="false">D15*D17+D16*D19</f>
        <v>0.055</v>
      </c>
      <c r="E24" s="19" t="n">
        <f aca="false">E15*E17+E16*E19</f>
        <v>0.07</v>
      </c>
    </row>
    <row r="25" customFormat="false" ht="21.75" hidden="false" customHeight="true" outlineLevel="0" collapsed="false">
      <c r="A25" s="12" t="s">
        <v>40</v>
      </c>
      <c r="B25" s="6" t="s">
        <v>41</v>
      </c>
      <c r="C25" s="19" t="n">
        <f aca="false">SQRT(C15^2*C18^2+C16^2*C20^2+2*C15*C16*C21*C18*C20)</f>
        <v>0.0367151195013716</v>
      </c>
      <c r="D25" s="19" t="n">
        <f aca="false">SQRT(D15^2*D18^2+D16^2*D20^2+2*D15*D16*D21*D18*D20)</f>
        <v>0.0776208734813001</v>
      </c>
      <c r="E25" s="19" t="n">
        <f aca="false">SQRT(E15^2*E18^2+E16^2*E20^2+2*E15*E16*E21*E18*E20)</f>
        <v>0.120863559437905</v>
      </c>
    </row>
  </sheetData>
  <mergeCells count="5">
    <mergeCell ref="A1:H1"/>
    <mergeCell ref="A2:H2"/>
    <mergeCell ref="A4:H4"/>
    <mergeCell ref="A13:H1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1" min="2" style="0" width="14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0" t="s">
        <v>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27.75" hidden="false" customHeight="true" outlineLevel="0" collapsed="false">
      <c r="A3" s="21" t="s">
        <v>44</v>
      </c>
      <c r="B3" s="21" t="s">
        <v>45</v>
      </c>
      <c r="C3" s="22" t="s">
        <v>46</v>
      </c>
      <c r="D3" s="22"/>
      <c r="E3" s="23" t="s">
        <v>47</v>
      </c>
      <c r="F3" s="23"/>
      <c r="G3" s="24" t="s">
        <v>48</v>
      </c>
      <c r="H3" s="24"/>
      <c r="I3" s="25" t="s">
        <v>49</v>
      </c>
      <c r="J3" s="25"/>
      <c r="K3" s="25"/>
    </row>
    <row r="4" customFormat="false" ht="21.75" hidden="false" customHeight="true" outlineLevel="0" collapsed="false">
      <c r="A4" s="21" t="s">
        <v>44</v>
      </c>
      <c r="B4" s="21" t="s">
        <v>45</v>
      </c>
      <c r="C4" s="26" t="s">
        <v>50</v>
      </c>
      <c r="D4" s="26" t="s">
        <v>51</v>
      </c>
      <c r="E4" s="27" t="s">
        <v>50</v>
      </c>
      <c r="F4" s="27" t="s">
        <v>51</v>
      </c>
      <c r="G4" s="28" t="s">
        <v>50</v>
      </c>
      <c r="H4" s="28" t="s">
        <v>51</v>
      </c>
      <c r="I4" s="26" t="s">
        <v>20</v>
      </c>
      <c r="J4" s="27" t="s">
        <v>21</v>
      </c>
      <c r="K4" s="28" t="s">
        <v>22</v>
      </c>
    </row>
    <row r="5" customFormat="false" ht="15" hidden="false" customHeight="false" outlineLevel="0" collapsed="false">
      <c r="A5" s="29" t="n">
        <v>0</v>
      </c>
      <c r="B5" s="30" t="n">
        <v>1000</v>
      </c>
      <c r="C5" s="30" t="n">
        <v>1200</v>
      </c>
      <c r="D5" s="31" t="n">
        <v>1.2</v>
      </c>
      <c r="E5" s="30" t="n">
        <v>1200</v>
      </c>
      <c r="F5" s="31" t="n">
        <v>1.2</v>
      </c>
      <c r="G5" s="30" t="n">
        <v>1200</v>
      </c>
      <c r="H5" s="31" t="n">
        <v>1.2</v>
      </c>
      <c r="I5" s="32" t="n">
        <v>200</v>
      </c>
      <c r="J5" s="32" t="n">
        <v>200</v>
      </c>
      <c r="K5" s="32" t="n">
        <v>200</v>
      </c>
    </row>
    <row r="6" customFormat="false" ht="15" hidden="false" customHeight="false" outlineLevel="0" collapsed="false">
      <c r="A6" s="33" t="n">
        <v>1</v>
      </c>
      <c r="B6" s="30" t="n">
        <v>1050</v>
      </c>
      <c r="C6" s="30" t="n">
        <v>1248</v>
      </c>
      <c r="D6" s="34" t="n">
        <v>1.189</v>
      </c>
      <c r="E6" s="30" t="n">
        <v>1266</v>
      </c>
      <c r="F6" s="34" t="n">
        <v>1.206</v>
      </c>
      <c r="G6" s="30" t="n">
        <v>1284</v>
      </c>
      <c r="H6" s="34" t="n">
        <v>1.223</v>
      </c>
      <c r="I6" s="32" t="n">
        <v>198</v>
      </c>
      <c r="J6" s="32" t="n">
        <v>216</v>
      </c>
      <c r="K6" s="32" t="n">
        <v>234</v>
      </c>
    </row>
    <row r="7" customFormat="false" ht="15" hidden="false" customHeight="false" outlineLevel="0" collapsed="false">
      <c r="A7" s="33" t="n">
        <v>2</v>
      </c>
      <c r="B7" s="30" t="n">
        <v>1102.5</v>
      </c>
      <c r="C7" s="30" t="n">
        <v>1297.9</v>
      </c>
      <c r="D7" s="34" t="n">
        <v>1.177</v>
      </c>
      <c r="E7" s="30" t="n">
        <v>1335.6</v>
      </c>
      <c r="F7" s="34" t="n">
        <v>1.211</v>
      </c>
      <c r="G7" s="30" t="n">
        <v>1373.9</v>
      </c>
      <c r="H7" s="34" t="n">
        <v>1.246</v>
      </c>
      <c r="I7" s="32" t="n">
        <v>195.4</v>
      </c>
      <c r="J7" s="32" t="n">
        <v>233.1</v>
      </c>
      <c r="K7" s="32" t="n">
        <v>271.4</v>
      </c>
    </row>
    <row r="8" customFormat="false" ht="15" hidden="false" customHeight="false" outlineLevel="0" collapsed="false">
      <c r="A8" s="33" t="n">
        <v>3</v>
      </c>
      <c r="B8" s="30" t="n">
        <v>1157.6</v>
      </c>
      <c r="C8" s="30" t="n">
        <v>1349.8</v>
      </c>
      <c r="D8" s="34" t="n">
        <v>1.166</v>
      </c>
      <c r="E8" s="30" t="n">
        <v>1409.1</v>
      </c>
      <c r="F8" s="34" t="n">
        <v>1.217</v>
      </c>
      <c r="G8" s="30" t="n">
        <v>1470.1</v>
      </c>
      <c r="H8" s="34" t="n">
        <v>1.27</v>
      </c>
      <c r="I8" s="32" t="n">
        <v>192.2</v>
      </c>
      <c r="J8" s="32" t="n">
        <v>251.5</v>
      </c>
      <c r="K8" s="32" t="n">
        <v>312.4</v>
      </c>
    </row>
    <row r="9" customFormat="false" ht="15" hidden="false" customHeight="false" outlineLevel="0" collapsed="false">
      <c r="A9" s="33" t="n">
        <v>4</v>
      </c>
      <c r="B9" s="30" t="n">
        <v>1215.5</v>
      </c>
      <c r="C9" s="30" t="n">
        <v>1403.8</v>
      </c>
      <c r="D9" s="34" t="n">
        <v>1.155</v>
      </c>
      <c r="E9" s="30" t="n">
        <v>1486.6</v>
      </c>
      <c r="F9" s="34" t="n">
        <v>1.223</v>
      </c>
      <c r="G9" s="30" t="n">
        <v>1573</v>
      </c>
      <c r="H9" s="34" t="n">
        <v>1.294</v>
      </c>
      <c r="I9" s="32" t="n">
        <v>188.3</v>
      </c>
      <c r="J9" s="32" t="n">
        <v>271.1</v>
      </c>
      <c r="K9" s="32" t="n">
        <v>357.4</v>
      </c>
    </row>
    <row r="10" customFormat="false" ht="15" hidden="false" customHeight="false" outlineLevel="0" collapsed="false">
      <c r="A10" s="33" t="n">
        <v>5</v>
      </c>
      <c r="B10" s="30" t="n">
        <v>1276.3</v>
      </c>
      <c r="C10" s="30" t="n">
        <v>1460</v>
      </c>
      <c r="D10" s="34" t="n">
        <v>1.144</v>
      </c>
      <c r="E10" s="30" t="n">
        <v>1568.4</v>
      </c>
      <c r="F10" s="34" t="n">
        <v>1.229</v>
      </c>
      <c r="G10" s="30" t="n">
        <v>1683.1</v>
      </c>
      <c r="H10" s="34" t="n">
        <v>1.319</v>
      </c>
      <c r="I10" s="32" t="n">
        <v>183.7</v>
      </c>
      <c r="J10" s="32" t="n">
        <v>292.1</v>
      </c>
      <c r="K10" s="32" t="n">
        <v>406.8</v>
      </c>
    </row>
    <row r="11" customFormat="false" ht="15" hidden="false" customHeight="false" outlineLevel="0" collapsed="false">
      <c r="A11" s="33" t="n">
        <v>6</v>
      </c>
      <c r="B11" s="30" t="n">
        <v>1340.1</v>
      </c>
      <c r="C11" s="30" t="n">
        <v>1518.4</v>
      </c>
      <c r="D11" s="34" t="n">
        <v>1.133</v>
      </c>
      <c r="E11" s="30" t="n">
        <v>1654.6</v>
      </c>
      <c r="F11" s="34" t="n">
        <v>1.235</v>
      </c>
      <c r="G11" s="30" t="n">
        <v>1800.9</v>
      </c>
      <c r="H11" s="34" t="n">
        <v>1.344</v>
      </c>
      <c r="I11" s="32" t="n">
        <v>178.3</v>
      </c>
      <c r="J11" s="32" t="n">
        <v>314.5</v>
      </c>
      <c r="K11" s="32" t="n">
        <v>460.8</v>
      </c>
    </row>
    <row r="12" customFormat="false" ht="15" hidden="false" customHeight="false" outlineLevel="0" collapsed="false">
      <c r="A12" s="33" t="n">
        <v>7</v>
      </c>
      <c r="B12" s="30" t="n">
        <v>1407.1</v>
      </c>
      <c r="C12" s="30" t="n">
        <v>1579.1</v>
      </c>
      <c r="D12" s="34" t="n">
        <v>1.122</v>
      </c>
      <c r="E12" s="30" t="n">
        <v>1745.6</v>
      </c>
      <c r="F12" s="34" t="n">
        <v>1.241</v>
      </c>
      <c r="G12" s="30" t="n">
        <v>1926.9</v>
      </c>
      <c r="H12" s="34" t="n">
        <v>1.369</v>
      </c>
      <c r="I12" s="32" t="n">
        <v>172</v>
      </c>
      <c r="J12" s="32" t="n">
        <v>338.5</v>
      </c>
      <c r="K12" s="32" t="n">
        <v>519.8</v>
      </c>
    </row>
    <row r="13" customFormat="false" ht="15" hidden="false" customHeight="false" outlineLevel="0" collapsed="false">
      <c r="A13" s="33" t="n">
        <v>8</v>
      </c>
      <c r="B13" s="30" t="n">
        <v>1477.5</v>
      </c>
      <c r="C13" s="30" t="n">
        <v>1642.3</v>
      </c>
      <c r="D13" s="34" t="n">
        <v>1.112</v>
      </c>
      <c r="E13" s="30" t="n">
        <v>1841.6</v>
      </c>
      <c r="F13" s="34" t="n">
        <v>1.246</v>
      </c>
      <c r="G13" s="30" t="n">
        <v>2061.8</v>
      </c>
      <c r="H13" s="34" t="n">
        <v>1.396</v>
      </c>
      <c r="I13" s="32" t="n">
        <v>164.8</v>
      </c>
      <c r="J13" s="32" t="n">
        <v>364.2</v>
      </c>
      <c r="K13" s="32" t="n">
        <v>584.4</v>
      </c>
    </row>
    <row r="14" customFormat="false" ht="15" hidden="false" customHeight="false" outlineLevel="0" collapsed="false">
      <c r="A14" s="33" t="n">
        <v>9</v>
      </c>
      <c r="B14" s="30" t="n">
        <v>1551.3</v>
      </c>
      <c r="C14" s="30" t="n">
        <v>1708</v>
      </c>
      <c r="D14" s="34" t="n">
        <v>1.101</v>
      </c>
      <c r="E14" s="30" t="n">
        <v>1942.9</v>
      </c>
      <c r="F14" s="34" t="n">
        <v>1.252</v>
      </c>
      <c r="G14" s="30" t="n">
        <v>2206.2</v>
      </c>
      <c r="H14" s="34" t="n">
        <v>1.422</v>
      </c>
      <c r="I14" s="32" t="n">
        <v>156.6</v>
      </c>
      <c r="J14" s="32" t="n">
        <v>391.6</v>
      </c>
      <c r="K14" s="32" t="n">
        <v>654.8</v>
      </c>
    </row>
    <row r="15" customFormat="false" ht="15" hidden="false" customHeight="false" outlineLevel="0" collapsed="false">
      <c r="A15" s="33" t="n">
        <v>10</v>
      </c>
      <c r="B15" s="30" t="n">
        <v>1628.9</v>
      </c>
      <c r="C15" s="30" t="n">
        <v>1776.3</v>
      </c>
      <c r="D15" s="35" t="n">
        <v>1.09</v>
      </c>
      <c r="E15" s="30" t="n">
        <v>2049.8</v>
      </c>
      <c r="F15" s="34" t="n">
        <v>1.258</v>
      </c>
      <c r="G15" s="30" t="n">
        <v>2360.6</v>
      </c>
      <c r="H15" s="34" t="n">
        <v>1.449</v>
      </c>
      <c r="I15" s="32" t="n">
        <v>147.4</v>
      </c>
      <c r="J15" s="32" t="n">
        <v>420.9</v>
      </c>
      <c r="K15" s="32" t="n">
        <v>731.7</v>
      </c>
    </row>
    <row r="16" customFormat="false" ht="15" hidden="false" customHeight="false" outlineLevel="0" collapsed="false">
      <c r="A16" s="33" t="n">
        <v>11</v>
      </c>
      <c r="B16" s="30" t="n">
        <v>1710.3</v>
      </c>
      <c r="C16" s="30" t="n">
        <v>1847.3</v>
      </c>
      <c r="D16" s="35" t="n">
        <v>1.08</v>
      </c>
      <c r="E16" s="30" t="n">
        <v>2162.5</v>
      </c>
      <c r="F16" s="34" t="n">
        <v>1.264</v>
      </c>
      <c r="G16" s="30" t="n">
        <v>2525.8</v>
      </c>
      <c r="H16" s="34" t="n">
        <v>1.477</v>
      </c>
      <c r="I16" s="32" t="n">
        <v>137</v>
      </c>
      <c r="J16" s="32" t="n">
        <v>452.2</v>
      </c>
      <c r="K16" s="32" t="n">
        <v>815.5</v>
      </c>
    </row>
    <row r="17" customFormat="false" ht="15" hidden="false" customHeight="false" outlineLevel="0" collapsed="false">
      <c r="A17" s="33" t="n">
        <v>12</v>
      </c>
      <c r="B17" s="30" t="n">
        <v>1795.9</v>
      </c>
      <c r="C17" s="30" t="n">
        <v>1921.2</v>
      </c>
      <c r="D17" s="35" t="n">
        <v>1.07</v>
      </c>
      <c r="E17" s="30" t="n">
        <v>2281.4</v>
      </c>
      <c r="F17" s="34" t="n">
        <v>1.27</v>
      </c>
      <c r="G17" s="30" t="n">
        <v>2702.6</v>
      </c>
      <c r="H17" s="34" t="n">
        <v>1.505</v>
      </c>
      <c r="I17" s="32" t="n">
        <v>125.4</v>
      </c>
      <c r="J17" s="32" t="n">
        <v>485.6</v>
      </c>
      <c r="K17" s="32" t="n">
        <v>906.8</v>
      </c>
    </row>
    <row r="18" customFormat="false" ht="15" hidden="false" customHeight="false" outlineLevel="0" collapsed="false">
      <c r="A18" s="33" t="n">
        <v>13</v>
      </c>
      <c r="B18" s="30" t="n">
        <v>1885.6</v>
      </c>
      <c r="C18" s="30" t="n">
        <v>1998.1</v>
      </c>
      <c r="D18" s="35" t="n">
        <v>1.06</v>
      </c>
      <c r="E18" s="30" t="n">
        <v>2406.9</v>
      </c>
      <c r="F18" s="34" t="n">
        <v>1.276</v>
      </c>
      <c r="G18" s="30" t="n">
        <v>2891.8</v>
      </c>
      <c r="H18" s="34" t="n">
        <v>1.534</v>
      </c>
      <c r="I18" s="32" t="n">
        <v>112.4</v>
      </c>
      <c r="J18" s="32" t="n">
        <v>521.3</v>
      </c>
      <c r="K18" s="32" t="n">
        <v>1006.2</v>
      </c>
    </row>
    <row r="19" customFormat="false" ht="15" hidden="false" customHeight="false" outlineLevel="0" collapsed="false">
      <c r="A19" s="33" t="n">
        <v>14</v>
      </c>
      <c r="B19" s="30" t="n">
        <v>1979.9</v>
      </c>
      <c r="C19" s="30" t="n">
        <v>2078</v>
      </c>
      <c r="D19" s="35" t="n">
        <v>1.05</v>
      </c>
      <c r="E19" s="30" t="n">
        <v>2539.3</v>
      </c>
      <c r="F19" s="34" t="n">
        <v>1.283</v>
      </c>
      <c r="G19" s="30" t="n">
        <v>3094.2</v>
      </c>
      <c r="H19" s="34" t="n">
        <v>1.563</v>
      </c>
      <c r="I19" s="32" t="n">
        <v>98.1</v>
      </c>
      <c r="J19" s="32" t="n">
        <v>559.4</v>
      </c>
      <c r="K19" s="32" t="n">
        <v>1114.3</v>
      </c>
    </row>
    <row r="20" customFormat="false" ht="15" hidden="false" customHeight="false" outlineLevel="0" collapsed="false">
      <c r="A20" s="33" t="n">
        <v>15</v>
      </c>
      <c r="B20" s="30" t="n">
        <v>2078.9</v>
      </c>
      <c r="C20" s="30" t="n">
        <v>2161.1</v>
      </c>
      <c r="D20" s="35" t="n">
        <v>1.04</v>
      </c>
      <c r="E20" s="30" t="n">
        <v>2679</v>
      </c>
      <c r="F20" s="34" t="n">
        <v>1.289</v>
      </c>
      <c r="G20" s="30" t="n">
        <v>3310.8</v>
      </c>
      <c r="H20" s="34" t="n">
        <v>1.593</v>
      </c>
      <c r="I20" s="32" t="n">
        <v>82.2</v>
      </c>
      <c r="J20" s="32" t="n">
        <v>600</v>
      </c>
      <c r="K20" s="32" t="n">
        <v>1231.9</v>
      </c>
    </row>
    <row r="21" customFormat="false" ht="15" hidden="false" customHeight="false" outlineLevel="0" collapsed="false">
      <c r="A21" s="33" t="n">
        <v>16</v>
      </c>
      <c r="B21" s="30" t="n">
        <v>2182.9</v>
      </c>
      <c r="C21" s="30" t="n">
        <v>2247.6</v>
      </c>
      <c r="D21" s="35" t="n">
        <v>1.03</v>
      </c>
      <c r="E21" s="30" t="n">
        <v>2826.3</v>
      </c>
      <c r="F21" s="34" t="n">
        <v>1.295</v>
      </c>
      <c r="G21" s="30" t="n">
        <v>3542.6</v>
      </c>
      <c r="H21" s="34" t="n">
        <v>1.623</v>
      </c>
      <c r="I21" s="32" t="n">
        <v>64.7</v>
      </c>
      <c r="J21" s="32" t="n">
        <v>643.4</v>
      </c>
      <c r="K21" s="32" t="n">
        <v>1359.7</v>
      </c>
    </row>
    <row r="22" customFormat="false" ht="15" hidden="false" customHeight="false" outlineLevel="0" collapsed="false">
      <c r="A22" s="33" t="n">
        <v>17</v>
      </c>
      <c r="B22" s="30" t="n">
        <v>2292</v>
      </c>
      <c r="C22" s="30" t="n">
        <v>2337.5</v>
      </c>
      <c r="D22" s="35" t="n">
        <v>1.02</v>
      </c>
      <c r="E22" s="30" t="n">
        <v>2981.8</v>
      </c>
      <c r="F22" s="34" t="n">
        <v>1.301</v>
      </c>
      <c r="G22" s="30" t="n">
        <v>3790.6</v>
      </c>
      <c r="H22" s="34" t="n">
        <v>1.654</v>
      </c>
      <c r="I22" s="32" t="n">
        <v>45.5</v>
      </c>
      <c r="J22" s="32" t="n">
        <v>689.7</v>
      </c>
      <c r="K22" s="32" t="n">
        <v>1498.6</v>
      </c>
    </row>
    <row r="23" customFormat="false" ht="15" hidden="false" customHeight="false" outlineLevel="0" collapsed="false">
      <c r="A23" s="33" t="n">
        <v>18</v>
      </c>
      <c r="B23" s="30" t="n">
        <v>2406.6</v>
      </c>
      <c r="C23" s="30" t="n">
        <v>2431</v>
      </c>
      <c r="D23" s="35" t="n">
        <v>1.01</v>
      </c>
      <c r="E23" s="30" t="n">
        <v>3145.8</v>
      </c>
      <c r="F23" s="34" t="n">
        <v>1.307</v>
      </c>
      <c r="G23" s="30" t="n">
        <v>4055.9</v>
      </c>
      <c r="H23" s="34" t="n">
        <v>1.685</v>
      </c>
      <c r="I23" s="32" t="n">
        <v>24.4</v>
      </c>
      <c r="J23" s="32" t="n">
        <v>739.1</v>
      </c>
      <c r="K23" s="32" t="n">
        <v>1649.3</v>
      </c>
    </row>
    <row r="24" customFormat="false" ht="15" hidden="false" customHeight="false" outlineLevel="0" collapsed="false">
      <c r="A24" s="33" t="n">
        <v>19</v>
      </c>
      <c r="B24" s="30" t="n">
        <v>2527</v>
      </c>
      <c r="C24" s="30" t="n">
        <v>2528.2</v>
      </c>
      <c r="D24" s="35" t="n">
        <v>1.001</v>
      </c>
      <c r="E24" s="30" t="n">
        <v>3318.8</v>
      </c>
      <c r="F24" s="34" t="n">
        <v>1.313</v>
      </c>
      <c r="G24" s="30" t="n">
        <v>4339.8</v>
      </c>
      <c r="H24" s="34" t="n">
        <v>1.717</v>
      </c>
      <c r="I24" s="32" t="n">
        <v>1.3</v>
      </c>
      <c r="J24" s="32" t="n">
        <v>791.8</v>
      </c>
      <c r="K24" s="32" t="n">
        <v>1812.9</v>
      </c>
    </row>
    <row r="25" customFormat="false" ht="15" hidden="false" customHeight="false" outlineLevel="0" collapsed="false">
      <c r="A25" s="33" t="n">
        <v>20</v>
      </c>
      <c r="B25" s="30" t="n">
        <v>2653.3</v>
      </c>
      <c r="C25" s="30" t="n">
        <v>2629.3</v>
      </c>
      <c r="D25" s="36" t="n">
        <v>0.991</v>
      </c>
      <c r="E25" s="30" t="n">
        <v>3501.3</v>
      </c>
      <c r="F25" s="37" t="n">
        <v>1.32</v>
      </c>
      <c r="G25" s="30" t="n">
        <v>4643.6</v>
      </c>
      <c r="H25" s="37" t="n">
        <v>1.75</v>
      </c>
      <c r="I25" s="38" t="n">
        <v>-23.9</v>
      </c>
      <c r="J25" s="39" t="n">
        <v>848</v>
      </c>
      <c r="K25" s="39" t="n">
        <v>1990.3</v>
      </c>
    </row>
    <row r="27" customFormat="false" ht="21.75" hidden="false" customHeight="true" outlineLevel="0" collapsed="false">
      <c r="A27" s="40" t="s">
        <v>52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</row>
    <row r="28" customFormat="false" ht="21.75" hidden="false" customHeight="true" outlineLevel="0" collapsed="false">
      <c r="A28" s="26" t="s">
        <v>53</v>
      </c>
      <c r="B28" s="26" t="s">
        <v>54</v>
      </c>
      <c r="C28" s="26" t="s">
        <v>55</v>
      </c>
      <c r="D28" s="26" t="s">
        <v>56</v>
      </c>
      <c r="E28" s="26" t="s">
        <v>57</v>
      </c>
      <c r="F28" s="26" t="s">
        <v>58</v>
      </c>
      <c r="G28" s="26" t="s">
        <v>59</v>
      </c>
      <c r="H28" s="26" t="s">
        <v>60</v>
      </c>
      <c r="I28" s="26" t="s">
        <v>61</v>
      </c>
      <c r="J28" s="26" t="s">
        <v>62</v>
      </c>
      <c r="K28" s="26" t="s">
        <v>63</v>
      </c>
    </row>
    <row r="29" customFormat="false" ht="21.75" hidden="false" customHeight="true" outlineLevel="0" collapsed="false">
      <c r="A29" s="12" t="s">
        <v>64</v>
      </c>
      <c r="B29" s="41" t="n">
        <v>2653.3</v>
      </c>
      <c r="C29" s="41" t="n">
        <v>2629.3</v>
      </c>
      <c r="D29" s="42" t="n">
        <v>0.991</v>
      </c>
      <c r="E29" s="41" t="n">
        <v>3501.3</v>
      </c>
      <c r="F29" s="42" t="n">
        <v>1.32</v>
      </c>
      <c r="G29" s="41" t="n">
        <v>4643.6</v>
      </c>
      <c r="H29" s="42" t="n">
        <v>1.75</v>
      </c>
      <c r="I29" s="38" t="n">
        <v>-23.9</v>
      </c>
      <c r="J29" s="39" t="n">
        <v>848</v>
      </c>
      <c r="K29" s="39" t="n">
        <v>1990.3</v>
      </c>
    </row>
  </sheetData>
  <mergeCells count="7">
    <mergeCell ref="A1:N1"/>
    <mergeCell ref="A2:N2"/>
    <mergeCell ref="C3:D3"/>
    <mergeCell ref="E3:F3"/>
    <mergeCell ref="G3:H3"/>
    <mergeCell ref="I3:K3"/>
    <mergeCell ref="A27:K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6" min="2" style="0" width="8"/>
    <col collapsed="false" customWidth="true" hidden="false" outlineLevel="0" max="17" min="17" style="0" width="10"/>
    <col collapsed="false" customWidth="true" hidden="false" outlineLevel="0" max="19" min="18" style="0" width="12"/>
  </cols>
  <sheetData>
    <row r="1" customFormat="false" ht="27.7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0" t="s">
        <v>66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4" customFormat="false" ht="24" hidden="false" customHeight="true" outlineLevel="0" collapsed="false">
      <c r="A4" s="43" t="s">
        <v>67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 customFormat="false" ht="31.5" hidden="false" customHeight="true" outlineLevel="0" collapsed="false">
      <c r="A5" s="44" t="s">
        <v>44</v>
      </c>
      <c r="B5" s="45" t="s">
        <v>68</v>
      </c>
      <c r="C5" s="45" t="s">
        <v>69</v>
      </c>
      <c r="D5" s="45" t="s">
        <v>70</v>
      </c>
      <c r="E5" s="45" t="s">
        <v>71</v>
      </c>
      <c r="F5" s="45" t="s">
        <v>72</v>
      </c>
      <c r="G5" s="45" t="s">
        <v>73</v>
      </c>
      <c r="H5" s="45" t="s">
        <v>74</v>
      </c>
      <c r="I5" s="45" t="s">
        <v>75</v>
      </c>
      <c r="J5" s="45" t="s">
        <v>76</v>
      </c>
      <c r="K5" s="45" t="s">
        <v>77</v>
      </c>
      <c r="L5" s="45" t="s">
        <v>78</v>
      </c>
      <c r="M5" s="45" t="s">
        <v>79</v>
      </c>
      <c r="N5" s="45" t="s">
        <v>80</v>
      </c>
      <c r="O5" s="45" t="s">
        <v>81</v>
      </c>
      <c r="P5" s="45" t="s">
        <v>82</v>
      </c>
      <c r="Q5" s="46" t="s">
        <v>83</v>
      </c>
      <c r="R5" s="46" t="s">
        <v>84</v>
      </c>
      <c r="S5" s="46" t="s">
        <v>85</v>
      </c>
    </row>
    <row r="6" customFormat="false" ht="15.75" hidden="false" customHeight="true" outlineLevel="0" collapsed="false">
      <c r="A6" s="47" t="n">
        <v>0</v>
      </c>
      <c r="B6" s="48" t="n">
        <v>1.2</v>
      </c>
      <c r="C6" s="48" t="n">
        <v>1.2</v>
      </c>
      <c r="D6" s="48" t="n">
        <v>1.2</v>
      </c>
      <c r="E6" s="48" t="n">
        <v>1.2</v>
      </c>
      <c r="F6" s="48" t="n">
        <v>1.2</v>
      </c>
      <c r="G6" s="48" t="n">
        <v>1.2</v>
      </c>
      <c r="H6" s="48" t="n">
        <v>1.2</v>
      </c>
      <c r="I6" s="48" t="n">
        <v>1.2</v>
      </c>
      <c r="J6" s="48" t="n">
        <v>1.2</v>
      </c>
      <c r="K6" s="48" t="n">
        <v>1.2</v>
      </c>
      <c r="L6" s="48" t="n">
        <v>1.2</v>
      </c>
      <c r="M6" s="48" t="n">
        <v>1.2</v>
      </c>
      <c r="N6" s="48" t="n">
        <v>1.2</v>
      </c>
      <c r="O6" s="48" t="n">
        <v>1.2</v>
      </c>
      <c r="P6" s="48" t="n">
        <v>1.2</v>
      </c>
      <c r="Q6" s="49" t="n">
        <v>1.2</v>
      </c>
      <c r="R6" s="50" t="n">
        <v>0</v>
      </c>
      <c r="S6" s="51" t="n">
        <v>0</v>
      </c>
    </row>
    <row r="7" customFormat="false" ht="15.75" hidden="false" customHeight="true" outlineLevel="0" collapsed="false">
      <c r="A7" s="52" t="n">
        <v>1</v>
      </c>
      <c r="B7" s="53" t="n">
        <v>1.211</v>
      </c>
      <c r="C7" s="53" t="n">
        <v>1.254</v>
      </c>
      <c r="D7" s="53" t="n">
        <v>1.221</v>
      </c>
      <c r="E7" s="53" t="n">
        <v>1.168</v>
      </c>
      <c r="F7" s="53" t="n">
        <v>1.179</v>
      </c>
      <c r="G7" s="53" t="n">
        <v>1.129</v>
      </c>
      <c r="H7" s="53" t="n">
        <v>1.224</v>
      </c>
      <c r="I7" s="53" t="n">
        <v>1.199</v>
      </c>
      <c r="J7" s="53" t="n">
        <v>1.147</v>
      </c>
      <c r="K7" s="53" t="n">
        <v>1.216</v>
      </c>
      <c r="L7" s="53" t="n">
        <v>1.204</v>
      </c>
      <c r="M7" s="53" t="n">
        <v>1.294</v>
      </c>
      <c r="N7" s="53" t="n">
        <v>1.155</v>
      </c>
      <c r="O7" s="53" t="n">
        <v>1.149</v>
      </c>
      <c r="P7" s="53" t="n">
        <v>1.194</v>
      </c>
      <c r="Q7" s="49" t="n">
        <v>1.199</v>
      </c>
      <c r="R7" s="50" t="n">
        <v>0</v>
      </c>
      <c r="S7" s="51" t="n">
        <v>0</v>
      </c>
    </row>
    <row r="8" customFormat="false" ht="15.75" hidden="false" customHeight="true" outlineLevel="0" collapsed="false">
      <c r="A8" s="52" t="n">
        <v>2</v>
      </c>
      <c r="B8" s="53" t="n">
        <v>1.193</v>
      </c>
      <c r="C8" s="53" t="n">
        <v>1.232</v>
      </c>
      <c r="D8" s="53" t="n">
        <v>1.217</v>
      </c>
      <c r="E8" s="53" t="n">
        <v>1.149</v>
      </c>
      <c r="F8" s="53" t="n">
        <v>1.183</v>
      </c>
      <c r="G8" s="53" t="n">
        <v>1.101</v>
      </c>
      <c r="H8" s="53" t="n">
        <v>1.172</v>
      </c>
      <c r="I8" s="53" t="n">
        <v>1.246</v>
      </c>
      <c r="J8" s="53" t="n">
        <v>1.169</v>
      </c>
      <c r="K8" s="53" t="n">
        <v>1.168</v>
      </c>
      <c r="L8" s="53" t="n">
        <v>1.218</v>
      </c>
      <c r="M8" s="53" t="n">
        <v>1.197</v>
      </c>
      <c r="N8" s="53" t="n">
        <v>1.139</v>
      </c>
      <c r="O8" s="53" t="n">
        <v>1.136</v>
      </c>
      <c r="P8" s="53" t="n">
        <v>1.212</v>
      </c>
      <c r="Q8" s="49" t="n">
        <v>1.183</v>
      </c>
      <c r="R8" s="50" t="n">
        <v>0</v>
      </c>
      <c r="S8" s="51" t="n">
        <v>0</v>
      </c>
    </row>
    <row r="9" customFormat="false" ht="15.75" hidden="false" customHeight="true" outlineLevel="0" collapsed="false">
      <c r="A9" s="52" t="n">
        <v>3</v>
      </c>
      <c r="B9" s="53" t="n">
        <v>1.21</v>
      </c>
      <c r="C9" s="53" t="n">
        <v>1.224</v>
      </c>
      <c r="D9" s="53" t="n">
        <v>1.201</v>
      </c>
      <c r="E9" s="54" t="n">
        <v>1.093</v>
      </c>
      <c r="F9" s="53" t="n">
        <v>1.238</v>
      </c>
      <c r="G9" s="54" t="n">
        <v>1.077</v>
      </c>
      <c r="H9" s="53" t="n">
        <v>1.223</v>
      </c>
      <c r="I9" s="53" t="n">
        <v>1.163</v>
      </c>
      <c r="J9" s="53" t="n">
        <v>1.209</v>
      </c>
      <c r="K9" s="53" t="n">
        <v>1.112</v>
      </c>
      <c r="L9" s="53" t="n">
        <v>1.255</v>
      </c>
      <c r="M9" s="53" t="n">
        <v>1.216</v>
      </c>
      <c r="N9" s="53" t="n">
        <v>1.149</v>
      </c>
      <c r="O9" s="54" t="n">
        <v>0.999</v>
      </c>
      <c r="P9" s="53" t="n">
        <v>1.272</v>
      </c>
      <c r="Q9" s="49" t="n">
        <v>1.209</v>
      </c>
      <c r="R9" s="55" t="n">
        <v>3</v>
      </c>
      <c r="S9" s="56" t="n">
        <v>0.2</v>
      </c>
    </row>
    <row r="10" customFormat="false" ht="15.75" hidden="false" customHeight="true" outlineLevel="0" collapsed="false">
      <c r="A10" s="52" t="n">
        <v>4</v>
      </c>
      <c r="B10" s="53" t="n">
        <v>1.268</v>
      </c>
      <c r="C10" s="53" t="n">
        <v>1.15</v>
      </c>
      <c r="D10" s="53" t="n">
        <v>1.177</v>
      </c>
      <c r="E10" s="54" t="n">
        <v>1.036</v>
      </c>
      <c r="F10" s="53" t="n">
        <v>1.203</v>
      </c>
      <c r="G10" s="54" t="n">
        <v>1.036</v>
      </c>
      <c r="H10" s="53" t="n">
        <v>1.15</v>
      </c>
      <c r="I10" s="53" t="n">
        <v>1.16</v>
      </c>
      <c r="J10" s="53" t="n">
        <v>1.162</v>
      </c>
      <c r="K10" s="53" t="n">
        <v>1.121</v>
      </c>
      <c r="L10" s="53" t="n">
        <v>1.293</v>
      </c>
      <c r="M10" s="53" t="n">
        <v>1.135</v>
      </c>
      <c r="N10" s="53" t="n">
        <v>1.175</v>
      </c>
      <c r="O10" s="54" t="n">
        <v>0.953</v>
      </c>
      <c r="P10" s="53" t="n">
        <v>1.204</v>
      </c>
      <c r="Q10" s="49" t="n">
        <v>1.16</v>
      </c>
      <c r="R10" s="55" t="n">
        <v>3</v>
      </c>
      <c r="S10" s="56" t="n">
        <v>0.2</v>
      </c>
    </row>
    <row r="11" customFormat="false" ht="15.75" hidden="false" customHeight="true" outlineLevel="0" collapsed="false">
      <c r="A11" s="52" t="n">
        <v>5</v>
      </c>
      <c r="B11" s="53" t="n">
        <v>1.245</v>
      </c>
      <c r="C11" s="53" t="n">
        <v>1.117</v>
      </c>
      <c r="D11" s="53" t="n">
        <v>1.104</v>
      </c>
      <c r="E11" s="54" t="n">
        <v>1.058</v>
      </c>
      <c r="F11" s="53" t="n">
        <v>1.157</v>
      </c>
      <c r="G11" s="54" t="n">
        <v>1.02</v>
      </c>
      <c r="H11" s="53" t="n">
        <v>1.164</v>
      </c>
      <c r="I11" s="53" t="n">
        <v>1.16</v>
      </c>
      <c r="J11" s="53" t="n">
        <v>1.192</v>
      </c>
      <c r="K11" s="53" t="n">
        <v>1.102</v>
      </c>
      <c r="L11" s="53" t="n">
        <v>1.217</v>
      </c>
      <c r="M11" s="53" t="n">
        <v>1.105</v>
      </c>
      <c r="N11" s="53" t="n">
        <v>1.114</v>
      </c>
      <c r="O11" s="54" t="n">
        <v>0.935</v>
      </c>
      <c r="P11" s="53" t="n">
        <v>1.29</v>
      </c>
      <c r="Q11" s="49" t="n">
        <v>1.117</v>
      </c>
      <c r="R11" s="55" t="n">
        <v>3</v>
      </c>
      <c r="S11" s="56" t="n">
        <v>0.2</v>
      </c>
    </row>
    <row r="12" customFormat="false" ht="15.75" hidden="false" customHeight="true" outlineLevel="0" collapsed="false">
      <c r="A12" s="52" t="n">
        <v>6</v>
      </c>
      <c r="B12" s="53" t="n">
        <v>1.223</v>
      </c>
      <c r="C12" s="53" t="n">
        <v>1.111</v>
      </c>
      <c r="D12" s="54" t="n">
        <v>1.065</v>
      </c>
      <c r="E12" s="53" t="n">
        <v>1.101</v>
      </c>
      <c r="F12" s="53" t="n">
        <v>1.125</v>
      </c>
      <c r="G12" s="54" t="n">
        <v>1.025</v>
      </c>
      <c r="H12" s="53" t="n">
        <v>1.25</v>
      </c>
      <c r="I12" s="53" t="n">
        <v>1.183</v>
      </c>
      <c r="J12" s="53" t="n">
        <v>1.199</v>
      </c>
      <c r="K12" s="53" t="n">
        <v>1.12</v>
      </c>
      <c r="L12" s="53" t="n">
        <v>1.165</v>
      </c>
      <c r="M12" s="53" t="n">
        <v>1.14</v>
      </c>
      <c r="N12" s="54" t="n">
        <v>1.09</v>
      </c>
      <c r="O12" s="54" t="n">
        <v>0.885</v>
      </c>
      <c r="P12" s="53" t="n">
        <v>1.189</v>
      </c>
      <c r="Q12" s="49" t="n">
        <v>1.125</v>
      </c>
      <c r="R12" s="55" t="n">
        <v>4</v>
      </c>
      <c r="S12" s="56" t="n">
        <v>0.266666666666667</v>
      </c>
    </row>
    <row r="13" customFormat="false" ht="15.75" hidden="false" customHeight="true" outlineLevel="0" collapsed="false">
      <c r="A13" s="52" t="n">
        <v>7</v>
      </c>
      <c r="B13" s="53" t="n">
        <v>1.284</v>
      </c>
      <c r="C13" s="54" t="n">
        <v>1.055</v>
      </c>
      <c r="D13" s="54" t="n">
        <v>1.037</v>
      </c>
      <c r="E13" s="54" t="n">
        <v>1.088</v>
      </c>
      <c r="F13" s="53" t="n">
        <v>1.152</v>
      </c>
      <c r="G13" s="54" t="n">
        <v>1.089</v>
      </c>
      <c r="H13" s="53" t="n">
        <v>1.194</v>
      </c>
      <c r="I13" s="53" t="n">
        <v>1.12</v>
      </c>
      <c r="J13" s="53" t="n">
        <v>1.224</v>
      </c>
      <c r="K13" s="53" t="n">
        <v>1.129</v>
      </c>
      <c r="L13" s="53" t="n">
        <v>1.176</v>
      </c>
      <c r="M13" s="53" t="n">
        <v>1.131</v>
      </c>
      <c r="N13" s="54" t="n">
        <v>1.061</v>
      </c>
      <c r="O13" s="54" t="n">
        <v>0.931</v>
      </c>
      <c r="P13" s="53" t="n">
        <v>1.172</v>
      </c>
      <c r="Q13" s="49" t="n">
        <v>1.129</v>
      </c>
      <c r="R13" s="55" t="n">
        <v>6</v>
      </c>
      <c r="S13" s="56" t="n">
        <v>0.4</v>
      </c>
    </row>
    <row r="14" customFormat="false" ht="15.75" hidden="false" customHeight="true" outlineLevel="0" collapsed="false">
      <c r="A14" s="52" t="n">
        <v>8</v>
      </c>
      <c r="B14" s="53" t="n">
        <v>1.308</v>
      </c>
      <c r="C14" s="54" t="n">
        <v>1.06</v>
      </c>
      <c r="D14" s="54" t="n">
        <v>1.068</v>
      </c>
      <c r="E14" s="53" t="n">
        <v>1.118</v>
      </c>
      <c r="F14" s="53" t="n">
        <v>1.155</v>
      </c>
      <c r="G14" s="54" t="n">
        <v>1.085</v>
      </c>
      <c r="H14" s="53" t="n">
        <v>1.158</v>
      </c>
      <c r="I14" s="54" t="n">
        <v>1.057</v>
      </c>
      <c r="J14" s="53" t="n">
        <v>1.3</v>
      </c>
      <c r="K14" s="53" t="n">
        <v>1.115</v>
      </c>
      <c r="L14" s="53" t="n">
        <v>1.187</v>
      </c>
      <c r="M14" s="54" t="n">
        <v>1.077</v>
      </c>
      <c r="N14" s="54" t="n">
        <v>1.026</v>
      </c>
      <c r="O14" s="54" t="n">
        <v>0.875</v>
      </c>
      <c r="P14" s="53" t="n">
        <v>1.186</v>
      </c>
      <c r="Q14" s="49" t="n">
        <v>1.115</v>
      </c>
      <c r="R14" s="55" t="n">
        <v>7</v>
      </c>
      <c r="S14" s="56" t="n">
        <v>0.466666666666667</v>
      </c>
    </row>
    <row r="15" customFormat="false" ht="15.75" hidden="false" customHeight="true" outlineLevel="0" collapsed="false">
      <c r="A15" s="52" t="n">
        <v>9</v>
      </c>
      <c r="B15" s="53" t="n">
        <v>1.273</v>
      </c>
      <c r="C15" s="54" t="n">
        <v>1.027</v>
      </c>
      <c r="D15" s="54" t="n">
        <v>1.072</v>
      </c>
      <c r="E15" s="53" t="n">
        <v>1.122</v>
      </c>
      <c r="F15" s="53" t="n">
        <v>1.122</v>
      </c>
      <c r="G15" s="54" t="n">
        <v>1.085</v>
      </c>
      <c r="H15" s="53" t="n">
        <v>1.152</v>
      </c>
      <c r="I15" s="54" t="n">
        <v>1.067</v>
      </c>
      <c r="J15" s="53" t="n">
        <v>1.276</v>
      </c>
      <c r="K15" s="54" t="n">
        <v>1.071</v>
      </c>
      <c r="L15" s="53" t="n">
        <v>1.198</v>
      </c>
      <c r="M15" s="54" t="n">
        <v>1.04</v>
      </c>
      <c r="N15" s="54" t="n">
        <v>1.085</v>
      </c>
      <c r="O15" s="54" t="n">
        <v>0.853</v>
      </c>
      <c r="P15" s="53" t="n">
        <v>1.187</v>
      </c>
      <c r="Q15" s="49" t="n">
        <v>1.085</v>
      </c>
      <c r="R15" s="55" t="n">
        <v>8</v>
      </c>
      <c r="S15" s="56" t="n">
        <v>0.533333333333333</v>
      </c>
    </row>
    <row r="16" customFormat="false" ht="15.75" hidden="false" customHeight="true" outlineLevel="0" collapsed="false">
      <c r="A16" s="52" t="n">
        <v>10</v>
      </c>
      <c r="B16" s="53" t="n">
        <v>1.287</v>
      </c>
      <c r="C16" s="54" t="n">
        <v>1.006</v>
      </c>
      <c r="D16" s="54" t="n">
        <v>0.995</v>
      </c>
      <c r="E16" s="54" t="n">
        <v>1.086</v>
      </c>
      <c r="F16" s="53" t="n">
        <v>1.133</v>
      </c>
      <c r="G16" s="54" t="n">
        <v>1.072</v>
      </c>
      <c r="H16" s="53" t="n">
        <v>1.12</v>
      </c>
      <c r="I16" s="54" t="n">
        <v>1.068</v>
      </c>
      <c r="J16" s="53" t="n">
        <v>1.23</v>
      </c>
      <c r="K16" s="54" t="n">
        <v>1.004</v>
      </c>
      <c r="L16" s="53" t="n">
        <v>1.367</v>
      </c>
      <c r="M16" s="54" t="n">
        <v>1.056</v>
      </c>
      <c r="N16" s="54" t="n">
        <v>1.09</v>
      </c>
      <c r="O16" s="54" t="n">
        <v>0.849</v>
      </c>
      <c r="P16" s="53" t="n">
        <v>1.149</v>
      </c>
      <c r="Q16" s="49" t="n">
        <v>1.086</v>
      </c>
      <c r="R16" s="55" t="n">
        <v>9</v>
      </c>
      <c r="S16" s="56" t="n">
        <v>0.6</v>
      </c>
    </row>
    <row r="17" customFormat="false" ht="15.75" hidden="false" customHeight="true" outlineLevel="0" collapsed="false">
      <c r="A17" s="52" t="n">
        <v>11</v>
      </c>
      <c r="B17" s="53" t="n">
        <v>1.253</v>
      </c>
      <c r="C17" s="54" t="n">
        <v>0.975</v>
      </c>
      <c r="D17" s="54" t="n">
        <v>0.997</v>
      </c>
      <c r="E17" s="54" t="n">
        <v>1.09</v>
      </c>
      <c r="F17" s="53" t="n">
        <v>1.126</v>
      </c>
      <c r="G17" s="54" t="n">
        <v>0.99</v>
      </c>
      <c r="H17" s="54" t="n">
        <v>1.048</v>
      </c>
      <c r="I17" s="54" t="n">
        <v>1.068</v>
      </c>
      <c r="J17" s="53" t="n">
        <v>1.179</v>
      </c>
      <c r="K17" s="54" t="n">
        <v>0.978</v>
      </c>
      <c r="L17" s="53" t="n">
        <v>1.383</v>
      </c>
      <c r="M17" s="54" t="n">
        <v>1.018</v>
      </c>
      <c r="N17" s="54" t="n">
        <v>1.031</v>
      </c>
      <c r="O17" s="54" t="n">
        <v>0.886</v>
      </c>
      <c r="P17" s="53" t="n">
        <v>1.13</v>
      </c>
      <c r="Q17" s="49" t="n">
        <v>1.048</v>
      </c>
      <c r="R17" s="55" t="n">
        <v>10</v>
      </c>
      <c r="S17" s="56" t="n">
        <v>0.666666666666667</v>
      </c>
    </row>
    <row r="18" customFormat="false" ht="15.75" hidden="false" customHeight="true" outlineLevel="0" collapsed="false">
      <c r="A18" s="52" t="n">
        <v>12</v>
      </c>
      <c r="B18" s="53" t="n">
        <v>1.22</v>
      </c>
      <c r="C18" s="54" t="n">
        <v>1.034</v>
      </c>
      <c r="D18" s="54" t="n">
        <v>0.974</v>
      </c>
      <c r="E18" s="53" t="n">
        <v>1.142</v>
      </c>
      <c r="F18" s="53" t="n">
        <v>1.156</v>
      </c>
      <c r="G18" s="54" t="n">
        <v>0.979</v>
      </c>
      <c r="H18" s="54" t="n">
        <v>1.041</v>
      </c>
      <c r="I18" s="54" t="n">
        <v>1.072</v>
      </c>
      <c r="J18" s="53" t="n">
        <v>1.133</v>
      </c>
      <c r="K18" s="54" t="n">
        <v>1</v>
      </c>
      <c r="L18" s="53" t="n">
        <v>1.428</v>
      </c>
      <c r="M18" s="54" t="n">
        <v>1.017</v>
      </c>
      <c r="N18" s="54" t="n">
        <v>1.057</v>
      </c>
      <c r="O18" s="54" t="n">
        <v>0.833</v>
      </c>
      <c r="P18" s="54" t="n">
        <v>1.099</v>
      </c>
      <c r="Q18" s="49" t="n">
        <v>1.057</v>
      </c>
      <c r="R18" s="55" t="n">
        <v>10</v>
      </c>
      <c r="S18" s="56" t="n">
        <v>0.666666666666667</v>
      </c>
    </row>
    <row r="19" customFormat="false" ht="15.75" hidden="false" customHeight="true" outlineLevel="0" collapsed="false">
      <c r="A19" s="52" t="n">
        <v>13</v>
      </c>
      <c r="B19" s="53" t="n">
        <v>1.22</v>
      </c>
      <c r="C19" s="54" t="n">
        <v>1.024</v>
      </c>
      <c r="D19" s="54" t="n">
        <v>0.941</v>
      </c>
      <c r="E19" s="53" t="n">
        <v>1.13</v>
      </c>
      <c r="F19" s="53" t="n">
        <v>1.116</v>
      </c>
      <c r="G19" s="54" t="n">
        <v>0.972</v>
      </c>
      <c r="H19" s="54" t="n">
        <v>0.992</v>
      </c>
      <c r="I19" s="54" t="n">
        <v>1.035</v>
      </c>
      <c r="J19" s="53" t="n">
        <v>1.12</v>
      </c>
      <c r="K19" s="54" t="n">
        <v>0.998</v>
      </c>
      <c r="L19" s="53" t="n">
        <v>1.465</v>
      </c>
      <c r="M19" s="54" t="n">
        <v>1.009</v>
      </c>
      <c r="N19" s="53" t="n">
        <v>1.131</v>
      </c>
      <c r="O19" s="54" t="n">
        <v>0.861</v>
      </c>
      <c r="P19" s="54" t="n">
        <v>1.065</v>
      </c>
      <c r="Q19" s="49" t="n">
        <v>1.035</v>
      </c>
      <c r="R19" s="55" t="n">
        <v>9</v>
      </c>
      <c r="S19" s="56" t="n">
        <v>0.6</v>
      </c>
    </row>
    <row r="20" customFormat="false" ht="15.75" hidden="false" customHeight="true" outlineLevel="0" collapsed="false">
      <c r="A20" s="52" t="n">
        <v>14</v>
      </c>
      <c r="B20" s="53" t="n">
        <v>1.126</v>
      </c>
      <c r="C20" s="54" t="n">
        <v>0.975</v>
      </c>
      <c r="D20" s="54" t="n">
        <v>0.954</v>
      </c>
      <c r="E20" s="53" t="n">
        <v>1.185</v>
      </c>
      <c r="F20" s="54" t="n">
        <v>1.092</v>
      </c>
      <c r="G20" s="54" t="n">
        <v>1.054</v>
      </c>
      <c r="H20" s="54" t="n">
        <v>0.999</v>
      </c>
      <c r="I20" s="54" t="n">
        <v>1.034</v>
      </c>
      <c r="J20" s="53" t="n">
        <v>1.123</v>
      </c>
      <c r="K20" s="54" t="n">
        <v>0.945</v>
      </c>
      <c r="L20" s="53" t="n">
        <v>1.487</v>
      </c>
      <c r="M20" s="54" t="n">
        <v>0.976</v>
      </c>
      <c r="N20" s="53" t="n">
        <v>1.164</v>
      </c>
      <c r="O20" s="54" t="n">
        <v>0.853</v>
      </c>
      <c r="P20" s="54" t="n">
        <v>1.089</v>
      </c>
      <c r="Q20" s="49" t="n">
        <v>1.054</v>
      </c>
      <c r="R20" s="55" t="n">
        <v>10</v>
      </c>
      <c r="S20" s="56" t="n">
        <v>0.666666666666667</v>
      </c>
    </row>
    <row r="21" customFormat="false" ht="15.75" hidden="false" customHeight="true" outlineLevel="0" collapsed="false">
      <c r="A21" s="52" t="n">
        <v>15</v>
      </c>
      <c r="B21" s="54" t="n">
        <v>1.047</v>
      </c>
      <c r="C21" s="54" t="n">
        <v>0.996</v>
      </c>
      <c r="D21" s="54" t="n">
        <v>0.981</v>
      </c>
      <c r="E21" s="54" t="n">
        <v>1.067</v>
      </c>
      <c r="F21" s="54" t="n">
        <v>1.067</v>
      </c>
      <c r="G21" s="54" t="n">
        <v>1.037</v>
      </c>
      <c r="H21" s="54" t="n">
        <v>0.957</v>
      </c>
      <c r="I21" s="54" t="n">
        <v>1.036</v>
      </c>
      <c r="J21" s="53" t="n">
        <v>1.124</v>
      </c>
      <c r="K21" s="54" t="n">
        <v>0.942</v>
      </c>
      <c r="L21" s="53" t="n">
        <v>1.456</v>
      </c>
      <c r="M21" s="54" t="n">
        <v>1.046</v>
      </c>
      <c r="N21" s="54" t="n">
        <v>1.091</v>
      </c>
      <c r="O21" s="54" t="n">
        <v>0.815</v>
      </c>
      <c r="P21" s="54" t="n">
        <v>1.093</v>
      </c>
      <c r="Q21" s="49" t="n">
        <v>1.046</v>
      </c>
      <c r="R21" s="55" t="n">
        <v>13</v>
      </c>
      <c r="S21" s="56" t="n">
        <v>0.866666666666667</v>
      </c>
    </row>
    <row r="22" customFormat="false" ht="15.75" hidden="false" customHeight="true" outlineLevel="0" collapsed="false">
      <c r="A22" s="52" t="n">
        <v>16</v>
      </c>
      <c r="B22" s="54" t="n">
        <v>1.016</v>
      </c>
      <c r="C22" s="54" t="n">
        <v>0.943</v>
      </c>
      <c r="D22" s="54" t="n">
        <v>1.006</v>
      </c>
      <c r="E22" s="54" t="n">
        <v>1.089</v>
      </c>
      <c r="F22" s="54" t="n">
        <v>1.001</v>
      </c>
      <c r="G22" s="54" t="n">
        <v>1.039</v>
      </c>
      <c r="H22" s="54" t="n">
        <v>1.004</v>
      </c>
      <c r="I22" s="54" t="n">
        <v>0.999</v>
      </c>
      <c r="J22" s="53" t="n">
        <v>1.148</v>
      </c>
      <c r="K22" s="54" t="n">
        <v>0.946</v>
      </c>
      <c r="L22" s="53" t="n">
        <v>1.483</v>
      </c>
      <c r="M22" s="54" t="n">
        <v>1.06</v>
      </c>
      <c r="N22" s="54" t="n">
        <v>1.061</v>
      </c>
      <c r="O22" s="54" t="n">
        <v>0.821</v>
      </c>
      <c r="P22" s="54" t="n">
        <v>1.055</v>
      </c>
      <c r="Q22" s="49" t="n">
        <v>1.016</v>
      </c>
      <c r="R22" s="55" t="n">
        <v>13</v>
      </c>
      <c r="S22" s="56" t="n">
        <v>0.866666666666667</v>
      </c>
    </row>
    <row r="23" customFormat="false" ht="15.75" hidden="false" customHeight="true" outlineLevel="0" collapsed="false">
      <c r="A23" s="52" t="n">
        <v>17</v>
      </c>
      <c r="B23" s="54" t="n">
        <v>0.97</v>
      </c>
      <c r="C23" s="54" t="n">
        <v>0.941</v>
      </c>
      <c r="D23" s="54" t="n">
        <v>0.966</v>
      </c>
      <c r="E23" s="54" t="n">
        <v>1.082</v>
      </c>
      <c r="F23" s="54" t="n">
        <v>1.003</v>
      </c>
      <c r="G23" s="54" t="n">
        <v>1.028</v>
      </c>
      <c r="H23" s="54" t="n">
        <v>0.966</v>
      </c>
      <c r="I23" s="54" t="n">
        <v>1.06</v>
      </c>
      <c r="J23" s="53" t="n">
        <v>1.137</v>
      </c>
      <c r="K23" s="54" t="n">
        <v>0.907</v>
      </c>
      <c r="L23" s="53" t="n">
        <v>1.428</v>
      </c>
      <c r="M23" s="54" t="n">
        <v>0.975</v>
      </c>
      <c r="N23" s="53" t="n">
        <v>1.101</v>
      </c>
      <c r="O23" s="54" t="n">
        <v>0.82</v>
      </c>
      <c r="P23" s="54" t="n">
        <v>1.08</v>
      </c>
      <c r="Q23" s="49" t="n">
        <v>1.003</v>
      </c>
      <c r="R23" s="55" t="n">
        <v>12</v>
      </c>
      <c r="S23" s="56" t="n">
        <v>0.8</v>
      </c>
    </row>
    <row r="24" customFormat="false" ht="15.75" hidden="false" customHeight="true" outlineLevel="0" collapsed="false">
      <c r="A24" s="52" t="n">
        <v>18</v>
      </c>
      <c r="B24" s="54" t="n">
        <v>0.972</v>
      </c>
      <c r="C24" s="54" t="n">
        <v>0.868</v>
      </c>
      <c r="D24" s="54" t="n">
        <v>0.946</v>
      </c>
      <c r="E24" s="54" t="n">
        <v>1.06</v>
      </c>
      <c r="F24" s="54" t="n">
        <v>1.003</v>
      </c>
      <c r="G24" s="54" t="n">
        <v>0.975</v>
      </c>
      <c r="H24" s="54" t="n">
        <v>0.946</v>
      </c>
      <c r="I24" s="54" t="n">
        <v>1.069</v>
      </c>
      <c r="J24" s="53" t="n">
        <v>1.188</v>
      </c>
      <c r="K24" s="54" t="n">
        <v>0.904</v>
      </c>
      <c r="L24" s="53" t="n">
        <v>1.402</v>
      </c>
      <c r="M24" s="54" t="n">
        <v>0.972</v>
      </c>
      <c r="N24" s="54" t="n">
        <v>1.063</v>
      </c>
      <c r="O24" s="54" t="n">
        <v>0.794</v>
      </c>
      <c r="P24" s="54" t="n">
        <v>1.082</v>
      </c>
      <c r="Q24" s="49" t="n">
        <v>0.975</v>
      </c>
      <c r="R24" s="55" t="n">
        <v>13</v>
      </c>
      <c r="S24" s="56" t="n">
        <v>0.866666666666667</v>
      </c>
    </row>
    <row r="25" customFormat="false" ht="15.75" hidden="false" customHeight="true" outlineLevel="0" collapsed="false">
      <c r="A25" s="52" t="n">
        <v>19</v>
      </c>
      <c r="B25" s="54" t="n">
        <v>0.931</v>
      </c>
      <c r="C25" s="54" t="n">
        <v>0.819</v>
      </c>
      <c r="D25" s="54" t="n">
        <v>0.948</v>
      </c>
      <c r="E25" s="54" t="n">
        <v>1.054</v>
      </c>
      <c r="F25" s="54" t="n">
        <v>0.994</v>
      </c>
      <c r="G25" s="54" t="n">
        <v>1.007</v>
      </c>
      <c r="H25" s="54" t="n">
        <v>0.965</v>
      </c>
      <c r="I25" s="54" t="n">
        <v>1.013</v>
      </c>
      <c r="J25" s="53" t="n">
        <v>1.166</v>
      </c>
      <c r="K25" s="54" t="n">
        <v>0.897</v>
      </c>
      <c r="L25" s="53" t="n">
        <v>1.364</v>
      </c>
      <c r="M25" s="54" t="n">
        <v>0.94</v>
      </c>
      <c r="N25" s="54" t="n">
        <v>1.07</v>
      </c>
      <c r="O25" s="54" t="n">
        <v>0.789</v>
      </c>
      <c r="P25" s="53" t="n">
        <v>1.105</v>
      </c>
      <c r="Q25" s="49" t="n">
        <v>0.994</v>
      </c>
      <c r="R25" s="55" t="n">
        <v>12</v>
      </c>
      <c r="S25" s="56" t="n">
        <v>0.8</v>
      </c>
    </row>
    <row r="26" customFormat="false" ht="15.75" hidden="false" customHeight="true" outlineLevel="0" collapsed="false">
      <c r="A26" s="47" t="n">
        <v>20</v>
      </c>
      <c r="B26" s="54" t="n">
        <v>0.876</v>
      </c>
      <c r="C26" s="54" t="n">
        <v>0.817</v>
      </c>
      <c r="D26" s="54" t="n">
        <v>0.974</v>
      </c>
      <c r="E26" s="54" t="n">
        <v>0.97</v>
      </c>
      <c r="F26" s="54" t="n">
        <v>0.976</v>
      </c>
      <c r="G26" s="54" t="n">
        <v>1.026</v>
      </c>
      <c r="H26" s="54" t="n">
        <v>0.914</v>
      </c>
      <c r="I26" s="54" t="n">
        <v>1.028</v>
      </c>
      <c r="J26" s="53" t="n">
        <v>1.276</v>
      </c>
      <c r="K26" s="54" t="n">
        <v>0.852</v>
      </c>
      <c r="L26" s="53" t="n">
        <v>1.356</v>
      </c>
      <c r="M26" s="54" t="n">
        <v>0.961</v>
      </c>
      <c r="N26" s="54" t="n">
        <v>1.091</v>
      </c>
      <c r="O26" s="54" t="n">
        <v>0.77</v>
      </c>
      <c r="P26" s="53" t="n">
        <v>1.12</v>
      </c>
      <c r="Q26" s="49" t="n">
        <v>0.974</v>
      </c>
      <c r="R26" s="55" t="n">
        <v>12</v>
      </c>
      <c r="S26" s="56" t="n">
        <v>0.8</v>
      </c>
    </row>
    <row r="29" customFormat="false" ht="24" hidden="false" customHeight="true" outlineLevel="0" collapsed="false">
      <c r="A29" s="57" t="s">
        <v>86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</row>
    <row r="30" customFormat="false" ht="31.5" hidden="false" customHeight="true" outlineLevel="0" collapsed="false">
      <c r="A30" s="58" t="s">
        <v>44</v>
      </c>
      <c r="B30" s="59" t="s">
        <v>68</v>
      </c>
      <c r="C30" s="59" t="s">
        <v>69</v>
      </c>
      <c r="D30" s="59" t="s">
        <v>70</v>
      </c>
      <c r="E30" s="59" t="s">
        <v>71</v>
      </c>
      <c r="F30" s="59" t="s">
        <v>72</v>
      </c>
      <c r="G30" s="59" t="s">
        <v>73</v>
      </c>
      <c r="H30" s="59" t="s">
        <v>74</v>
      </c>
      <c r="I30" s="59" t="s">
        <v>75</v>
      </c>
      <c r="J30" s="59" t="s">
        <v>76</v>
      </c>
      <c r="K30" s="59" t="s">
        <v>77</v>
      </c>
      <c r="L30" s="59" t="s">
        <v>78</v>
      </c>
      <c r="M30" s="59" t="s">
        <v>79</v>
      </c>
      <c r="N30" s="59" t="s">
        <v>80</v>
      </c>
      <c r="O30" s="59" t="s">
        <v>81</v>
      </c>
      <c r="P30" s="59" t="s">
        <v>82</v>
      </c>
      <c r="Q30" s="46" t="s">
        <v>83</v>
      </c>
      <c r="R30" s="46" t="s">
        <v>84</v>
      </c>
      <c r="S30" s="46" t="s">
        <v>85</v>
      </c>
    </row>
    <row r="31" customFormat="false" ht="15.75" hidden="false" customHeight="true" outlineLevel="0" collapsed="false">
      <c r="A31" s="47" t="n">
        <v>0</v>
      </c>
      <c r="B31" s="48" t="n">
        <v>1.2</v>
      </c>
      <c r="C31" s="48" t="n">
        <v>1.2</v>
      </c>
      <c r="D31" s="48" t="n">
        <v>1.2</v>
      </c>
      <c r="E31" s="48" t="n">
        <v>1.2</v>
      </c>
      <c r="F31" s="48" t="n">
        <v>1.2</v>
      </c>
      <c r="G31" s="48" t="n">
        <v>1.2</v>
      </c>
      <c r="H31" s="48" t="n">
        <v>1.2</v>
      </c>
      <c r="I31" s="48" t="n">
        <v>1.2</v>
      </c>
      <c r="J31" s="48" t="n">
        <v>1.2</v>
      </c>
      <c r="K31" s="48" t="n">
        <v>1.2</v>
      </c>
      <c r="L31" s="48" t="n">
        <v>1.2</v>
      </c>
      <c r="M31" s="48" t="n">
        <v>1.2</v>
      </c>
      <c r="N31" s="48" t="n">
        <v>1.2</v>
      </c>
      <c r="O31" s="48" t="n">
        <v>1.2</v>
      </c>
      <c r="P31" s="48" t="n">
        <v>1.2</v>
      </c>
      <c r="Q31" s="49" t="n">
        <v>1.2</v>
      </c>
      <c r="R31" s="50" t="n">
        <v>0</v>
      </c>
      <c r="S31" s="51" t="n">
        <v>0</v>
      </c>
    </row>
    <row r="32" customFormat="false" ht="15.75" hidden="false" customHeight="true" outlineLevel="0" collapsed="false">
      <c r="A32" s="52" t="n">
        <v>1</v>
      </c>
      <c r="B32" s="53" t="n">
        <v>1.129</v>
      </c>
      <c r="C32" s="53" t="n">
        <v>1.213</v>
      </c>
      <c r="D32" s="53" t="n">
        <v>1.129</v>
      </c>
      <c r="E32" s="53" t="n">
        <v>1.253</v>
      </c>
      <c r="F32" s="53" t="n">
        <v>1.128</v>
      </c>
      <c r="G32" s="54" t="n">
        <v>1.064</v>
      </c>
      <c r="H32" s="53" t="n">
        <v>1.413</v>
      </c>
      <c r="I32" s="53" t="n">
        <v>1.24</v>
      </c>
      <c r="J32" s="53" t="n">
        <v>1.402</v>
      </c>
      <c r="K32" s="53" t="n">
        <v>1.192</v>
      </c>
      <c r="L32" s="53" t="n">
        <v>1.294</v>
      </c>
      <c r="M32" s="54" t="n">
        <v>1.058</v>
      </c>
      <c r="N32" s="53" t="n">
        <v>1.285</v>
      </c>
      <c r="O32" s="53" t="n">
        <v>1.231</v>
      </c>
      <c r="P32" s="53" t="n">
        <v>1.236</v>
      </c>
      <c r="Q32" s="49" t="n">
        <v>1.231</v>
      </c>
      <c r="R32" s="55" t="n">
        <v>2</v>
      </c>
      <c r="S32" s="56" t="n">
        <v>0.133333333333333</v>
      </c>
    </row>
    <row r="33" customFormat="false" ht="15.75" hidden="false" customHeight="true" outlineLevel="0" collapsed="false">
      <c r="A33" s="52" t="n">
        <v>2</v>
      </c>
      <c r="B33" s="54" t="n">
        <v>1.084</v>
      </c>
      <c r="C33" s="53" t="n">
        <v>1.274</v>
      </c>
      <c r="D33" s="53" t="n">
        <v>1.155</v>
      </c>
      <c r="E33" s="53" t="n">
        <v>1.416</v>
      </c>
      <c r="F33" s="54" t="n">
        <v>1.08</v>
      </c>
      <c r="G33" s="54" t="n">
        <v>1.019</v>
      </c>
      <c r="H33" s="53" t="n">
        <v>1.624</v>
      </c>
      <c r="I33" s="53" t="n">
        <v>1.241</v>
      </c>
      <c r="J33" s="53" t="n">
        <v>1.41</v>
      </c>
      <c r="K33" s="53" t="n">
        <v>1.11</v>
      </c>
      <c r="L33" s="53" t="n">
        <v>1.505</v>
      </c>
      <c r="M33" s="53" t="n">
        <v>1.107</v>
      </c>
      <c r="N33" s="53" t="n">
        <v>1.18</v>
      </c>
      <c r="O33" s="53" t="n">
        <v>1.451</v>
      </c>
      <c r="P33" s="53" t="n">
        <v>1.201</v>
      </c>
      <c r="Q33" s="49" t="n">
        <v>1.201</v>
      </c>
      <c r="R33" s="55" t="n">
        <v>3</v>
      </c>
      <c r="S33" s="56" t="n">
        <v>0.2</v>
      </c>
    </row>
    <row r="34" customFormat="false" ht="15.75" hidden="false" customHeight="true" outlineLevel="0" collapsed="false">
      <c r="A34" s="52" t="n">
        <v>3</v>
      </c>
      <c r="B34" s="53" t="n">
        <v>1.153</v>
      </c>
      <c r="C34" s="53" t="n">
        <v>1.2</v>
      </c>
      <c r="D34" s="53" t="n">
        <v>1.181</v>
      </c>
      <c r="E34" s="53" t="n">
        <v>1.409</v>
      </c>
      <c r="F34" s="54" t="n">
        <v>0.919</v>
      </c>
      <c r="G34" s="54" t="n">
        <v>1.022</v>
      </c>
      <c r="H34" s="53" t="n">
        <v>1.598</v>
      </c>
      <c r="I34" s="54" t="n">
        <v>1.061</v>
      </c>
      <c r="J34" s="53" t="n">
        <v>1.34</v>
      </c>
      <c r="K34" s="54" t="n">
        <v>0.983</v>
      </c>
      <c r="L34" s="53" t="n">
        <v>1.354</v>
      </c>
      <c r="M34" s="54" t="n">
        <v>1.055</v>
      </c>
      <c r="N34" s="53" t="n">
        <v>1.234</v>
      </c>
      <c r="O34" s="53" t="n">
        <v>1.557</v>
      </c>
      <c r="P34" s="53" t="n">
        <v>1.265</v>
      </c>
      <c r="Q34" s="49" t="n">
        <v>1.2</v>
      </c>
      <c r="R34" s="55" t="n">
        <v>5</v>
      </c>
      <c r="S34" s="56" t="n">
        <v>0.333333333333333</v>
      </c>
    </row>
    <row r="35" customFormat="false" ht="15.75" hidden="false" customHeight="true" outlineLevel="0" collapsed="false">
      <c r="A35" s="52" t="n">
        <v>4</v>
      </c>
      <c r="B35" s="53" t="n">
        <v>1.212</v>
      </c>
      <c r="C35" s="53" t="n">
        <v>1.416</v>
      </c>
      <c r="D35" s="53" t="n">
        <v>1.139</v>
      </c>
      <c r="E35" s="53" t="n">
        <v>1.458</v>
      </c>
      <c r="F35" s="54" t="n">
        <v>0.885</v>
      </c>
      <c r="G35" s="54" t="n">
        <v>1.029</v>
      </c>
      <c r="H35" s="53" t="n">
        <v>1.729</v>
      </c>
      <c r="I35" s="54" t="n">
        <v>1.057</v>
      </c>
      <c r="J35" s="53" t="n">
        <v>1.367</v>
      </c>
      <c r="K35" s="54" t="n">
        <v>1.002</v>
      </c>
      <c r="L35" s="53" t="n">
        <v>1.42</v>
      </c>
      <c r="M35" s="53" t="n">
        <v>1.106</v>
      </c>
      <c r="N35" s="53" t="n">
        <v>1.384</v>
      </c>
      <c r="O35" s="53" t="n">
        <v>1.523</v>
      </c>
      <c r="P35" s="53" t="n">
        <v>1.514</v>
      </c>
      <c r="Q35" s="49" t="n">
        <v>1.367</v>
      </c>
      <c r="R35" s="55" t="n">
        <v>4</v>
      </c>
      <c r="S35" s="56" t="n">
        <v>0.266666666666667</v>
      </c>
    </row>
    <row r="36" customFormat="false" ht="15.75" hidden="false" customHeight="true" outlineLevel="0" collapsed="false">
      <c r="A36" s="52" t="n">
        <v>5</v>
      </c>
      <c r="B36" s="53" t="n">
        <v>1.214</v>
      </c>
      <c r="C36" s="53" t="n">
        <v>1.314</v>
      </c>
      <c r="D36" s="53" t="n">
        <v>1.101</v>
      </c>
      <c r="E36" s="53" t="n">
        <v>1.543</v>
      </c>
      <c r="F36" s="54" t="n">
        <v>0.837</v>
      </c>
      <c r="G36" s="54" t="n">
        <v>0.997</v>
      </c>
      <c r="H36" s="53" t="n">
        <v>1.823</v>
      </c>
      <c r="I36" s="54" t="n">
        <v>0.958</v>
      </c>
      <c r="J36" s="53" t="n">
        <v>1.359</v>
      </c>
      <c r="K36" s="54" t="n">
        <v>0.948</v>
      </c>
      <c r="L36" s="53" t="n">
        <v>1.354</v>
      </c>
      <c r="M36" s="54" t="n">
        <v>1.046</v>
      </c>
      <c r="N36" s="53" t="n">
        <v>1.146</v>
      </c>
      <c r="O36" s="53" t="n">
        <v>1.678</v>
      </c>
      <c r="P36" s="53" t="n">
        <v>1.54</v>
      </c>
      <c r="Q36" s="49" t="n">
        <v>1.214</v>
      </c>
      <c r="R36" s="55" t="n">
        <v>5</v>
      </c>
      <c r="S36" s="56" t="n">
        <v>0.333333333333333</v>
      </c>
    </row>
    <row r="37" customFormat="false" ht="15.75" hidden="false" customHeight="true" outlineLevel="0" collapsed="false">
      <c r="A37" s="52" t="n">
        <v>6</v>
      </c>
      <c r="B37" s="53" t="n">
        <v>1.229</v>
      </c>
      <c r="C37" s="53" t="n">
        <v>1.199</v>
      </c>
      <c r="D37" s="53" t="n">
        <v>1.125</v>
      </c>
      <c r="E37" s="53" t="n">
        <v>1.501</v>
      </c>
      <c r="F37" s="54" t="n">
        <v>0.85</v>
      </c>
      <c r="G37" s="54" t="n">
        <v>1.05</v>
      </c>
      <c r="H37" s="53" t="n">
        <v>2.034</v>
      </c>
      <c r="I37" s="54" t="n">
        <v>1.012</v>
      </c>
      <c r="J37" s="53" t="n">
        <v>1.341</v>
      </c>
      <c r="K37" s="54" t="n">
        <v>0.852</v>
      </c>
      <c r="L37" s="53" t="n">
        <v>1.308</v>
      </c>
      <c r="M37" s="54" t="n">
        <v>0.912</v>
      </c>
      <c r="N37" s="54" t="n">
        <v>1.081</v>
      </c>
      <c r="O37" s="53" t="n">
        <v>1.631</v>
      </c>
      <c r="P37" s="53" t="n">
        <v>1.575</v>
      </c>
      <c r="Q37" s="49" t="n">
        <v>1.199</v>
      </c>
      <c r="R37" s="55" t="n">
        <v>6</v>
      </c>
      <c r="S37" s="56" t="n">
        <v>0.4</v>
      </c>
    </row>
    <row r="38" customFormat="false" ht="15.75" hidden="false" customHeight="true" outlineLevel="0" collapsed="false">
      <c r="A38" s="52" t="n">
        <v>7</v>
      </c>
      <c r="B38" s="53" t="n">
        <v>1.362</v>
      </c>
      <c r="C38" s="53" t="n">
        <v>1.316</v>
      </c>
      <c r="D38" s="54" t="n">
        <v>1.009</v>
      </c>
      <c r="E38" s="53" t="n">
        <v>1.532</v>
      </c>
      <c r="F38" s="54" t="n">
        <v>0.875</v>
      </c>
      <c r="G38" s="54" t="n">
        <v>0.97</v>
      </c>
      <c r="H38" s="53" t="n">
        <v>1.893</v>
      </c>
      <c r="I38" s="54" t="n">
        <v>1.045</v>
      </c>
      <c r="J38" s="53" t="n">
        <v>1.411</v>
      </c>
      <c r="K38" s="54" t="n">
        <v>0.813</v>
      </c>
      <c r="L38" s="53" t="n">
        <v>1.253</v>
      </c>
      <c r="M38" s="54" t="n">
        <v>0.806</v>
      </c>
      <c r="N38" s="53" t="n">
        <v>1.134</v>
      </c>
      <c r="O38" s="53" t="n">
        <v>1.396</v>
      </c>
      <c r="P38" s="53" t="n">
        <v>1.525</v>
      </c>
      <c r="Q38" s="49" t="n">
        <v>1.253</v>
      </c>
      <c r="R38" s="55" t="n">
        <v>6</v>
      </c>
      <c r="S38" s="56" t="n">
        <v>0.4</v>
      </c>
    </row>
    <row r="39" customFormat="false" ht="15.75" hidden="false" customHeight="true" outlineLevel="0" collapsed="false">
      <c r="A39" s="52" t="n">
        <v>8</v>
      </c>
      <c r="B39" s="53" t="n">
        <v>1.305</v>
      </c>
      <c r="C39" s="53" t="n">
        <v>1.404</v>
      </c>
      <c r="D39" s="54" t="n">
        <v>0.907</v>
      </c>
      <c r="E39" s="53" t="n">
        <v>1.538</v>
      </c>
      <c r="F39" s="54" t="n">
        <v>1.016</v>
      </c>
      <c r="G39" s="54" t="n">
        <v>0.962</v>
      </c>
      <c r="H39" s="53" t="n">
        <v>2.003</v>
      </c>
      <c r="I39" s="54" t="n">
        <v>0.974</v>
      </c>
      <c r="J39" s="53" t="n">
        <v>1.501</v>
      </c>
      <c r="K39" s="54" t="n">
        <v>0.75</v>
      </c>
      <c r="L39" s="53" t="n">
        <v>1.176</v>
      </c>
      <c r="M39" s="54" t="n">
        <v>0.812</v>
      </c>
      <c r="N39" s="53" t="n">
        <v>1.12</v>
      </c>
      <c r="O39" s="53" t="n">
        <v>1.296</v>
      </c>
      <c r="P39" s="53" t="n">
        <v>1.432</v>
      </c>
      <c r="Q39" s="49" t="n">
        <v>1.176</v>
      </c>
      <c r="R39" s="55" t="n">
        <v>6</v>
      </c>
      <c r="S39" s="56" t="n">
        <v>0.4</v>
      </c>
    </row>
    <row r="40" customFormat="false" ht="15.75" hidden="false" customHeight="true" outlineLevel="0" collapsed="false">
      <c r="A40" s="52" t="n">
        <v>9</v>
      </c>
      <c r="B40" s="53" t="n">
        <v>1.366</v>
      </c>
      <c r="C40" s="53" t="n">
        <v>1.479</v>
      </c>
      <c r="D40" s="54" t="n">
        <v>0.861</v>
      </c>
      <c r="E40" s="53" t="n">
        <v>1.555</v>
      </c>
      <c r="F40" s="54" t="n">
        <v>1.097</v>
      </c>
      <c r="G40" s="54" t="n">
        <v>0.974</v>
      </c>
      <c r="H40" s="53" t="n">
        <v>2.182</v>
      </c>
      <c r="I40" s="54" t="n">
        <v>0.939</v>
      </c>
      <c r="J40" s="53" t="n">
        <v>1.445</v>
      </c>
      <c r="K40" s="54" t="n">
        <v>0.857</v>
      </c>
      <c r="L40" s="53" t="n">
        <v>1.184</v>
      </c>
      <c r="M40" s="54" t="n">
        <v>0.831</v>
      </c>
      <c r="N40" s="53" t="n">
        <v>1.157</v>
      </c>
      <c r="O40" s="53" t="n">
        <v>1.124</v>
      </c>
      <c r="P40" s="53" t="n">
        <v>1.532</v>
      </c>
      <c r="Q40" s="49" t="n">
        <v>1.157</v>
      </c>
      <c r="R40" s="55" t="n">
        <v>6</v>
      </c>
      <c r="S40" s="56" t="n">
        <v>0.4</v>
      </c>
    </row>
    <row r="41" customFormat="false" ht="15.75" hidden="false" customHeight="true" outlineLevel="0" collapsed="false">
      <c r="A41" s="52" t="n">
        <v>10</v>
      </c>
      <c r="B41" s="53" t="n">
        <v>1.349</v>
      </c>
      <c r="C41" s="53" t="n">
        <v>1.558</v>
      </c>
      <c r="D41" s="54" t="n">
        <v>0.849</v>
      </c>
      <c r="E41" s="53" t="n">
        <v>1.469</v>
      </c>
      <c r="F41" s="54" t="n">
        <v>1.052</v>
      </c>
      <c r="G41" s="54" t="n">
        <v>1.017</v>
      </c>
      <c r="H41" s="53" t="n">
        <v>1.909</v>
      </c>
      <c r="I41" s="54" t="n">
        <v>0.868</v>
      </c>
      <c r="J41" s="53" t="n">
        <v>1.386</v>
      </c>
      <c r="K41" s="54" t="n">
        <v>0.921</v>
      </c>
      <c r="L41" s="53" t="n">
        <v>1.113</v>
      </c>
      <c r="M41" s="54" t="n">
        <v>0.777</v>
      </c>
      <c r="N41" s="53" t="n">
        <v>1.107</v>
      </c>
      <c r="O41" s="54" t="n">
        <v>1.097</v>
      </c>
      <c r="P41" s="53" t="n">
        <v>1.438</v>
      </c>
      <c r="Q41" s="49" t="n">
        <v>1.107</v>
      </c>
      <c r="R41" s="55" t="n">
        <v>7</v>
      </c>
      <c r="S41" s="56" t="n">
        <v>0.466666666666667</v>
      </c>
    </row>
    <row r="42" customFormat="false" ht="15.75" hidden="false" customHeight="true" outlineLevel="0" collapsed="false">
      <c r="A42" s="52" t="n">
        <v>11</v>
      </c>
      <c r="B42" s="53" t="n">
        <v>1.331</v>
      </c>
      <c r="C42" s="53" t="n">
        <v>1.561</v>
      </c>
      <c r="D42" s="54" t="n">
        <v>0.873</v>
      </c>
      <c r="E42" s="53" t="n">
        <v>1.477</v>
      </c>
      <c r="F42" s="54" t="n">
        <v>0.984</v>
      </c>
      <c r="G42" s="54" t="n">
        <v>1.078</v>
      </c>
      <c r="H42" s="53" t="n">
        <v>1.748</v>
      </c>
      <c r="I42" s="54" t="n">
        <v>0.867</v>
      </c>
      <c r="J42" s="53" t="n">
        <v>1.361</v>
      </c>
      <c r="K42" s="54" t="n">
        <v>0.923</v>
      </c>
      <c r="L42" s="53" t="n">
        <v>1.141</v>
      </c>
      <c r="M42" s="54" t="n">
        <v>0.819</v>
      </c>
      <c r="N42" s="53" t="n">
        <v>1.118</v>
      </c>
      <c r="O42" s="53" t="n">
        <v>1.102</v>
      </c>
      <c r="P42" s="53" t="n">
        <v>1.451</v>
      </c>
      <c r="Q42" s="49" t="n">
        <v>1.118</v>
      </c>
      <c r="R42" s="55" t="n">
        <v>6</v>
      </c>
      <c r="S42" s="56" t="n">
        <v>0.4</v>
      </c>
    </row>
    <row r="43" customFormat="false" ht="15.75" hidden="false" customHeight="true" outlineLevel="0" collapsed="false">
      <c r="A43" s="52" t="n">
        <v>12</v>
      </c>
      <c r="B43" s="53" t="n">
        <v>1.454</v>
      </c>
      <c r="C43" s="53" t="n">
        <v>1.461</v>
      </c>
      <c r="D43" s="54" t="n">
        <v>0.982</v>
      </c>
      <c r="E43" s="53" t="n">
        <v>1.54</v>
      </c>
      <c r="F43" s="54" t="n">
        <v>1.026</v>
      </c>
      <c r="G43" s="54" t="n">
        <v>0.991</v>
      </c>
      <c r="H43" s="53" t="n">
        <v>1.497</v>
      </c>
      <c r="I43" s="54" t="n">
        <v>0.936</v>
      </c>
      <c r="J43" s="53" t="n">
        <v>1.142</v>
      </c>
      <c r="K43" s="54" t="n">
        <v>1.039</v>
      </c>
      <c r="L43" s="53" t="n">
        <v>1.14</v>
      </c>
      <c r="M43" s="54" t="n">
        <v>0.722</v>
      </c>
      <c r="N43" s="53" t="n">
        <v>1.108</v>
      </c>
      <c r="O43" s="53" t="n">
        <v>1.26</v>
      </c>
      <c r="P43" s="53" t="n">
        <v>1.403</v>
      </c>
      <c r="Q43" s="49" t="n">
        <v>1.14</v>
      </c>
      <c r="R43" s="55" t="n">
        <v>6</v>
      </c>
      <c r="S43" s="56" t="n">
        <v>0.4</v>
      </c>
    </row>
    <row r="44" customFormat="false" ht="15.75" hidden="false" customHeight="true" outlineLevel="0" collapsed="false">
      <c r="A44" s="52" t="n">
        <v>13</v>
      </c>
      <c r="B44" s="53" t="n">
        <v>1.555</v>
      </c>
      <c r="C44" s="53" t="n">
        <v>1.474</v>
      </c>
      <c r="D44" s="54" t="n">
        <v>1.053</v>
      </c>
      <c r="E44" s="53" t="n">
        <v>1.729</v>
      </c>
      <c r="F44" s="54" t="n">
        <v>0.929</v>
      </c>
      <c r="G44" s="54" t="n">
        <v>0.883</v>
      </c>
      <c r="H44" s="53" t="n">
        <v>1.47</v>
      </c>
      <c r="I44" s="54" t="n">
        <v>0.87</v>
      </c>
      <c r="J44" s="54" t="n">
        <v>1.019</v>
      </c>
      <c r="K44" s="54" t="n">
        <v>1.049</v>
      </c>
      <c r="L44" s="53" t="n">
        <v>1.123</v>
      </c>
      <c r="M44" s="54" t="n">
        <v>0.721</v>
      </c>
      <c r="N44" s="53" t="n">
        <v>1.217</v>
      </c>
      <c r="O44" s="53" t="n">
        <v>1.296</v>
      </c>
      <c r="P44" s="53" t="n">
        <v>1.46</v>
      </c>
      <c r="Q44" s="49" t="n">
        <v>1.123</v>
      </c>
      <c r="R44" s="55" t="n">
        <v>7</v>
      </c>
      <c r="S44" s="56" t="n">
        <v>0.466666666666667</v>
      </c>
    </row>
    <row r="45" customFormat="false" ht="15.75" hidden="false" customHeight="true" outlineLevel="0" collapsed="false">
      <c r="A45" s="52" t="n">
        <v>14</v>
      </c>
      <c r="B45" s="53" t="n">
        <v>1.661</v>
      </c>
      <c r="C45" s="53" t="n">
        <v>1.403</v>
      </c>
      <c r="D45" s="54" t="n">
        <v>1.043</v>
      </c>
      <c r="E45" s="53" t="n">
        <v>1.868</v>
      </c>
      <c r="F45" s="54" t="n">
        <v>1.074</v>
      </c>
      <c r="G45" s="54" t="n">
        <v>0.978</v>
      </c>
      <c r="H45" s="53" t="n">
        <v>1.559</v>
      </c>
      <c r="I45" s="54" t="n">
        <v>0.908</v>
      </c>
      <c r="J45" s="53" t="n">
        <v>1.136</v>
      </c>
      <c r="K45" s="54" t="n">
        <v>0.984</v>
      </c>
      <c r="L45" s="54" t="n">
        <v>1.05</v>
      </c>
      <c r="M45" s="54" t="n">
        <v>0.659</v>
      </c>
      <c r="N45" s="53" t="n">
        <v>1.246</v>
      </c>
      <c r="O45" s="53" t="n">
        <v>1.278</v>
      </c>
      <c r="P45" s="53" t="n">
        <v>1.503</v>
      </c>
      <c r="Q45" s="49" t="n">
        <v>1.136</v>
      </c>
      <c r="R45" s="55" t="n">
        <v>7</v>
      </c>
      <c r="S45" s="56" t="n">
        <v>0.466666666666667</v>
      </c>
    </row>
    <row r="46" customFormat="false" ht="15.75" hidden="false" customHeight="true" outlineLevel="0" collapsed="false">
      <c r="A46" s="52" t="n">
        <v>15</v>
      </c>
      <c r="B46" s="53" t="n">
        <v>1.844</v>
      </c>
      <c r="C46" s="53" t="n">
        <v>1.518</v>
      </c>
      <c r="D46" s="54" t="n">
        <v>1.045</v>
      </c>
      <c r="E46" s="53" t="n">
        <v>2.215</v>
      </c>
      <c r="F46" s="53" t="n">
        <v>1.181</v>
      </c>
      <c r="G46" s="54" t="n">
        <v>1.007</v>
      </c>
      <c r="H46" s="53" t="n">
        <v>1.758</v>
      </c>
      <c r="I46" s="54" t="n">
        <v>0.874</v>
      </c>
      <c r="J46" s="53" t="n">
        <v>1.295</v>
      </c>
      <c r="K46" s="53" t="n">
        <v>1.111</v>
      </c>
      <c r="L46" s="54" t="n">
        <v>1.007</v>
      </c>
      <c r="M46" s="54" t="n">
        <v>0.628</v>
      </c>
      <c r="N46" s="53" t="n">
        <v>1.283</v>
      </c>
      <c r="O46" s="53" t="n">
        <v>1.368</v>
      </c>
      <c r="P46" s="53" t="n">
        <v>1.635</v>
      </c>
      <c r="Q46" s="49" t="n">
        <v>1.283</v>
      </c>
      <c r="R46" s="55" t="n">
        <v>5</v>
      </c>
      <c r="S46" s="56" t="n">
        <v>0.333333333333333</v>
      </c>
    </row>
    <row r="47" customFormat="false" ht="15.75" hidden="false" customHeight="true" outlineLevel="0" collapsed="false">
      <c r="A47" s="52" t="n">
        <v>16</v>
      </c>
      <c r="B47" s="53" t="n">
        <v>1.853</v>
      </c>
      <c r="C47" s="53" t="n">
        <v>1.506</v>
      </c>
      <c r="D47" s="54" t="n">
        <v>0.97</v>
      </c>
      <c r="E47" s="53" t="n">
        <v>2.094</v>
      </c>
      <c r="F47" s="53" t="n">
        <v>1.143</v>
      </c>
      <c r="G47" s="54" t="n">
        <v>0.953</v>
      </c>
      <c r="H47" s="53" t="n">
        <v>1.774</v>
      </c>
      <c r="I47" s="54" t="n">
        <v>0.824</v>
      </c>
      <c r="J47" s="53" t="n">
        <v>1.275</v>
      </c>
      <c r="K47" s="53" t="n">
        <v>1.162</v>
      </c>
      <c r="L47" s="54" t="n">
        <v>1.071</v>
      </c>
      <c r="M47" s="54" t="n">
        <v>0.632</v>
      </c>
      <c r="N47" s="53" t="n">
        <v>1.246</v>
      </c>
      <c r="O47" s="53" t="n">
        <v>1.156</v>
      </c>
      <c r="P47" s="53" t="n">
        <v>1.576</v>
      </c>
      <c r="Q47" s="49" t="n">
        <v>1.162</v>
      </c>
      <c r="R47" s="55" t="n">
        <v>5</v>
      </c>
      <c r="S47" s="56" t="n">
        <v>0.333333333333333</v>
      </c>
    </row>
    <row r="48" customFormat="false" ht="15.75" hidden="false" customHeight="true" outlineLevel="0" collapsed="false">
      <c r="A48" s="52" t="n">
        <v>17</v>
      </c>
      <c r="B48" s="53" t="n">
        <v>1.96</v>
      </c>
      <c r="C48" s="53" t="n">
        <v>1.417</v>
      </c>
      <c r="D48" s="54" t="n">
        <v>0.971</v>
      </c>
      <c r="E48" s="53" t="n">
        <v>2.248</v>
      </c>
      <c r="F48" s="54" t="n">
        <v>1.004</v>
      </c>
      <c r="G48" s="54" t="n">
        <v>1.078</v>
      </c>
      <c r="H48" s="53" t="n">
        <v>2.019</v>
      </c>
      <c r="I48" s="54" t="n">
        <v>0.82</v>
      </c>
      <c r="J48" s="53" t="n">
        <v>1.337</v>
      </c>
      <c r="K48" s="54" t="n">
        <v>1.076</v>
      </c>
      <c r="L48" s="53" t="n">
        <v>1.117</v>
      </c>
      <c r="M48" s="54" t="n">
        <v>0.593</v>
      </c>
      <c r="N48" s="53" t="n">
        <v>1.204</v>
      </c>
      <c r="O48" s="53" t="n">
        <v>1.181</v>
      </c>
      <c r="P48" s="53" t="n">
        <v>1.549</v>
      </c>
      <c r="Q48" s="49" t="n">
        <v>1.181</v>
      </c>
      <c r="R48" s="55" t="n">
        <v>6</v>
      </c>
      <c r="S48" s="56" t="n">
        <v>0.4</v>
      </c>
    </row>
    <row r="49" customFormat="false" ht="15.75" hidden="false" customHeight="true" outlineLevel="0" collapsed="false">
      <c r="A49" s="52" t="n">
        <v>18</v>
      </c>
      <c r="B49" s="53" t="n">
        <v>1.92</v>
      </c>
      <c r="C49" s="53" t="n">
        <v>1.386</v>
      </c>
      <c r="D49" s="54" t="n">
        <v>0.953</v>
      </c>
      <c r="E49" s="53" t="n">
        <v>2.287</v>
      </c>
      <c r="F49" s="53" t="n">
        <v>1.118</v>
      </c>
      <c r="G49" s="54" t="n">
        <v>1.092</v>
      </c>
      <c r="H49" s="53" t="n">
        <v>1.82</v>
      </c>
      <c r="I49" s="54" t="n">
        <v>0.759</v>
      </c>
      <c r="J49" s="53" t="n">
        <v>1.374</v>
      </c>
      <c r="K49" s="54" t="n">
        <v>1.063</v>
      </c>
      <c r="L49" s="54" t="n">
        <v>1.039</v>
      </c>
      <c r="M49" s="54" t="n">
        <v>0.578</v>
      </c>
      <c r="N49" s="53" t="n">
        <v>1.168</v>
      </c>
      <c r="O49" s="53" t="n">
        <v>1.258</v>
      </c>
      <c r="P49" s="53" t="n">
        <v>1.44</v>
      </c>
      <c r="Q49" s="49" t="n">
        <v>1.168</v>
      </c>
      <c r="R49" s="55" t="n">
        <v>6</v>
      </c>
      <c r="S49" s="56" t="n">
        <v>0.4</v>
      </c>
    </row>
    <row r="50" customFormat="false" ht="15.75" hidden="false" customHeight="true" outlineLevel="0" collapsed="false">
      <c r="A50" s="52" t="n">
        <v>19</v>
      </c>
      <c r="B50" s="53" t="n">
        <v>1.975</v>
      </c>
      <c r="C50" s="53" t="n">
        <v>1.436</v>
      </c>
      <c r="D50" s="54" t="n">
        <v>0.98</v>
      </c>
      <c r="E50" s="53" t="n">
        <v>2.719</v>
      </c>
      <c r="F50" s="53" t="n">
        <v>1.112</v>
      </c>
      <c r="G50" s="53" t="n">
        <v>1.2</v>
      </c>
      <c r="H50" s="53" t="n">
        <v>1.6</v>
      </c>
      <c r="I50" s="54" t="n">
        <v>0.73</v>
      </c>
      <c r="J50" s="53" t="n">
        <v>1.751</v>
      </c>
      <c r="K50" s="54" t="n">
        <v>0.997</v>
      </c>
      <c r="L50" s="54" t="n">
        <v>1.05</v>
      </c>
      <c r="M50" s="54" t="n">
        <v>0.627</v>
      </c>
      <c r="N50" s="53" t="n">
        <v>1.208</v>
      </c>
      <c r="O50" s="53" t="n">
        <v>1.125</v>
      </c>
      <c r="P50" s="53" t="n">
        <v>1.396</v>
      </c>
      <c r="Q50" s="49" t="n">
        <v>1.2</v>
      </c>
      <c r="R50" s="55" t="n">
        <v>5</v>
      </c>
      <c r="S50" s="56" t="n">
        <v>0.333333333333333</v>
      </c>
    </row>
    <row r="51" customFormat="false" ht="15.75" hidden="false" customHeight="true" outlineLevel="0" collapsed="false">
      <c r="A51" s="47" t="n">
        <v>20</v>
      </c>
      <c r="B51" s="53" t="n">
        <v>1.962</v>
      </c>
      <c r="C51" s="53" t="n">
        <v>1.379</v>
      </c>
      <c r="D51" s="54" t="n">
        <v>0.922</v>
      </c>
      <c r="E51" s="53" t="n">
        <v>2.562</v>
      </c>
      <c r="F51" s="53" t="n">
        <v>1.228</v>
      </c>
      <c r="G51" s="53" t="n">
        <v>1.21</v>
      </c>
      <c r="H51" s="53" t="n">
        <v>1.598</v>
      </c>
      <c r="I51" s="54" t="n">
        <v>0.667</v>
      </c>
      <c r="J51" s="53" t="n">
        <v>1.916</v>
      </c>
      <c r="K51" s="54" t="n">
        <v>0.898</v>
      </c>
      <c r="L51" s="53" t="n">
        <v>1.117</v>
      </c>
      <c r="M51" s="54" t="n">
        <v>0.601</v>
      </c>
      <c r="N51" s="53" t="n">
        <v>1.173</v>
      </c>
      <c r="O51" s="53" t="n">
        <v>1.233</v>
      </c>
      <c r="P51" s="53" t="n">
        <v>1.442</v>
      </c>
      <c r="Q51" s="49" t="n">
        <v>1.228</v>
      </c>
      <c r="R51" s="55" t="n">
        <v>4</v>
      </c>
      <c r="S51" s="56" t="n">
        <v>0.266666666666667</v>
      </c>
    </row>
    <row r="54" customFormat="false" ht="24" hidden="false" customHeight="true" outlineLevel="0" collapsed="false">
      <c r="A54" s="60" t="s">
        <v>87</v>
      </c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</row>
    <row r="55" customFormat="false" ht="31.5" hidden="false" customHeight="true" outlineLevel="0" collapsed="false">
      <c r="A55" s="61" t="s">
        <v>44</v>
      </c>
      <c r="B55" s="62" t="s">
        <v>68</v>
      </c>
      <c r="C55" s="62" t="s">
        <v>69</v>
      </c>
      <c r="D55" s="62" t="s">
        <v>70</v>
      </c>
      <c r="E55" s="62" t="s">
        <v>71</v>
      </c>
      <c r="F55" s="62" t="s">
        <v>72</v>
      </c>
      <c r="G55" s="62" t="s">
        <v>73</v>
      </c>
      <c r="H55" s="62" t="s">
        <v>74</v>
      </c>
      <c r="I55" s="62" t="s">
        <v>75</v>
      </c>
      <c r="J55" s="62" t="s">
        <v>76</v>
      </c>
      <c r="K55" s="62" t="s">
        <v>77</v>
      </c>
      <c r="L55" s="62" t="s">
        <v>78</v>
      </c>
      <c r="M55" s="62" t="s">
        <v>79</v>
      </c>
      <c r="N55" s="62" t="s">
        <v>80</v>
      </c>
      <c r="O55" s="62" t="s">
        <v>81</v>
      </c>
      <c r="P55" s="62" t="s">
        <v>82</v>
      </c>
      <c r="Q55" s="46" t="s">
        <v>83</v>
      </c>
      <c r="R55" s="46" t="s">
        <v>84</v>
      </c>
      <c r="S55" s="46" t="s">
        <v>85</v>
      </c>
    </row>
    <row r="56" customFormat="false" ht="15.75" hidden="false" customHeight="true" outlineLevel="0" collapsed="false">
      <c r="A56" s="47" t="n">
        <v>0</v>
      </c>
      <c r="B56" s="48" t="n">
        <v>1.2</v>
      </c>
      <c r="C56" s="48" t="n">
        <v>1.2</v>
      </c>
      <c r="D56" s="48" t="n">
        <v>1.2</v>
      </c>
      <c r="E56" s="48" t="n">
        <v>1.2</v>
      </c>
      <c r="F56" s="48" t="n">
        <v>1.2</v>
      </c>
      <c r="G56" s="48" t="n">
        <v>1.2</v>
      </c>
      <c r="H56" s="48" t="n">
        <v>1.2</v>
      </c>
      <c r="I56" s="48" t="n">
        <v>1.2</v>
      </c>
      <c r="J56" s="48" t="n">
        <v>1.2</v>
      </c>
      <c r="K56" s="48" t="n">
        <v>1.2</v>
      </c>
      <c r="L56" s="48" t="n">
        <v>1.2</v>
      </c>
      <c r="M56" s="48" t="n">
        <v>1.2</v>
      </c>
      <c r="N56" s="48" t="n">
        <v>1.2</v>
      </c>
      <c r="O56" s="48" t="n">
        <v>1.2</v>
      </c>
      <c r="P56" s="48" t="n">
        <v>1.2</v>
      </c>
      <c r="Q56" s="49" t="n">
        <v>1.2</v>
      </c>
      <c r="R56" s="50" t="n">
        <v>0</v>
      </c>
      <c r="S56" s="51" t="n">
        <v>0</v>
      </c>
    </row>
    <row r="57" customFormat="false" ht="15.75" hidden="false" customHeight="true" outlineLevel="0" collapsed="false">
      <c r="A57" s="52" t="n">
        <v>1</v>
      </c>
      <c r="B57" s="53" t="n">
        <v>1.333</v>
      </c>
      <c r="C57" s="53" t="n">
        <v>1.106</v>
      </c>
      <c r="D57" s="53" t="n">
        <v>1.168</v>
      </c>
      <c r="E57" s="53" t="n">
        <v>1.135</v>
      </c>
      <c r="F57" s="53" t="n">
        <v>1.328</v>
      </c>
      <c r="G57" s="53" t="n">
        <v>1.142</v>
      </c>
      <c r="H57" s="53" t="n">
        <v>1.263</v>
      </c>
      <c r="I57" s="54" t="n">
        <v>0.974</v>
      </c>
      <c r="J57" s="53" t="n">
        <v>1.135</v>
      </c>
      <c r="K57" s="53" t="n">
        <v>1.243</v>
      </c>
      <c r="L57" s="53" t="n">
        <v>1.363</v>
      </c>
      <c r="M57" s="53" t="n">
        <v>1.143</v>
      </c>
      <c r="N57" s="53" t="n">
        <v>1.21</v>
      </c>
      <c r="O57" s="53" t="n">
        <v>1.247</v>
      </c>
      <c r="P57" s="53" t="n">
        <v>1.652</v>
      </c>
      <c r="Q57" s="49" t="n">
        <v>1.21</v>
      </c>
      <c r="R57" s="55" t="n">
        <v>1</v>
      </c>
      <c r="S57" s="56" t="n">
        <v>0.0666666666666667</v>
      </c>
    </row>
    <row r="58" customFormat="false" ht="15.75" hidden="false" customHeight="true" outlineLevel="0" collapsed="false">
      <c r="A58" s="52" t="n">
        <v>2</v>
      </c>
      <c r="B58" s="53" t="n">
        <v>1.209</v>
      </c>
      <c r="C58" s="53" t="n">
        <v>1.187</v>
      </c>
      <c r="D58" s="53" t="n">
        <v>1.45</v>
      </c>
      <c r="E58" s="54" t="n">
        <v>1.078</v>
      </c>
      <c r="F58" s="53" t="n">
        <v>1.175</v>
      </c>
      <c r="G58" s="53" t="n">
        <v>1.315</v>
      </c>
      <c r="H58" s="54" t="n">
        <v>1.041</v>
      </c>
      <c r="I58" s="54" t="n">
        <v>0.846</v>
      </c>
      <c r="J58" s="53" t="n">
        <v>1.168</v>
      </c>
      <c r="K58" s="54" t="n">
        <v>1.073</v>
      </c>
      <c r="L58" s="53" t="n">
        <v>1.298</v>
      </c>
      <c r="M58" s="53" t="n">
        <v>1.374</v>
      </c>
      <c r="N58" s="53" t="n">
        <v>1.331</v>
      </c>
      <c r="O58" s="54" t="n">
        <v>1.053</v>
      </c>
      <c r="P58" s="53" t="n">
        <v>1.571</v>
      </c>
      <c r="Q58" s="49" t="n">
        <v>1.187</v>
      </c>
      <c r="R58" s="55" t="n">
        <v>5</v>
      </c>
      <c r="S58" s="56" t="n">
        <v>0.333333333333333</v>
      </c>
    </row>
    <row r="59" customFormat="false" ht="15.75" hidden="false" customHeight="true" outlineLevel="0" collapsed="false">
      <c r="A59" s="52" t="n">
        <v>3</v>
      </c>
      <c r="B59" s="53" t="n">
        <v>1.362</v>
      </c>
      <c r="C59" s="53" t="n">
        <v>1.511</v>
      </c>
      <c r="D59" s="53" t="n">
        <v>1.425</v>
      </c>
      <c r="E59" s="54" t="n">
        <v>1.088</v>
      </c>
      <c r="F59" s="53" t="n">
        <v>1.118</v>
      </c>
      <c r="G59" s="53" t="n">
        <v>1.224</v>
      </c>
      <c r="H59" s="54" t="n">
        <v>0.897</v>
      </c>
      <c r="I59" s="54" t="n">
        <v>0.796</v>
      </c>
      <c r="J59" s="53" t="n">
        <v>1.614</v>
      </c>
      <c r="K59" s="53" t="n">
        <v>1.139</v>
      </c>
      <c r="L59" s="53" t="n">
        <v>1.332</v>
      </c>
      <c r="M59" s="53" t="n">
        <v>1.84</v>
      </c>
      <c r="N59" s="53" t="n">
        <v>1.178</v>
      </c>
      <c r="O59" s="53" t="n">
        <v>1.287</v>
      </c>
      <c r="P59" s="53" t="n">
        <v>1.501</v>
      </c>
      <c r="Q59" s="49" t="n">
        <v>1.287</v>
      </c>
      <c r="R59" s="55" t="n">
        <v>3</v>
      </c>
      <c r="S59" s="56" t="n">
        <v>0.2</v>
      </c>
    </row>
    <row r="60" customFormat="false" ht="15.75" hidden="false" customHeight="true" outlineLevel="0" collapsed="false">
      <c r="A60" s="52" t="n">
        <v>4</v>
      </c>
      <c r="B60" s="53" t="n">
        <v>1.627</v>
      </c>
      <c r="C60" s="53" t="n">
        <v>1.803</v>
      </c>
      <c r="D60" s="53" t="n">
        <v>1.204</v>
      </c>
      <c r="E60" s="54" t="n">
        <v>1.033</v>
      </c>
      <c r="F60" s="53" t="n">
        <v>1.203</v>
      </c>
      <c r="G60" s="54" t="n">
        <v>1.047</v>
      </c>
      <c r="H60" s="54" t="n">
        <v>0.995</v>
      </c>
      <c r="I60" s="54" t="n">
        <v>0.809</v>
      </c>
      <c r="J60" s="53" t="n">
        <v>1.618</v>
      </c>
      <c r="K60" s="53" t="n">
        <v>1.243</v>
      </c>
      <c r="L60" s="53" t="n">
        <v>1.277</v>
      </c>
      <c r="M60" s="53" t="n">
        <v>1.786</v>
      </c>
      <c r="N60" s="53" t="n">
        <v>1.251</v>
      </c>
      <c r="O60" s="53" t="n">
        <v>1.622</v>
      </c>
      <c r="P60" s="53" t="n">
        <v>1.727</v>
      </c>
      <c r="Q60" s="49" t="n">
        <v>1.251</v>
      </c>
      <c r="R60" s="55" t="n">
        <v>4</v>
      </c>
      <c r="S60" s="56" t="n">
        <v>0.266666666666667</v>
      </c>
    </row>
    <row r="61" customFormat="false" ht="15.75" hidden="false" customHeight="true" outlineLevel="0" collapsed="false">
      <c r="A61" s="52" t="n">
        <v>5</v>
      </c>
      <c r="B61" s="53" t="n">
        <v>1.735</v>
      </c>
      <c r="C61" s="53" t="n">
        <v>2.217</v>
      </c>
      <c r="D61" s="53" t="n">
        <v>1.186</v>
      </c>
      <c r="E61" s="54" t="n">
        <v>0.961</v>
      </c>
      <c r="F61" s="54" t="n">
        <v>1.052</v>
      </c>
      <c r="G61" s="54" t="n">
        <v>0.88</v>
      </c>
      <c r="H61" s="54" t="n">
        <v>1.03</v>
      </c>
      <c r="I61" s="54" t="n">
        <v>0.874</v>
      </c>
      <c r="J61" s="53" t="n">
        <v>1.885</v>
      </c>
      <c r="K61" s="53" t="n">
        <v>1.349</v>
      </c>
      <c r="L61" s="53" t="n">
        <v>1.229</v>
      </c>
      <c r="M61" s="53" t="n">
        <v>1.716</v>
      </c>
      <c r="N61" s="53" t="n">
        <v>1.294</v>
      </c>
      <c r="O61" s="53" t="n">
        <v>1.527</v>
      </c>
      <c r="P61" s="53" t="n">
        <v>1.902</v>
      </c>
      <c r="Q61" s="49" t="n">
        <v>1.294</v>
      </c>
      <c r="R61" s="55" t="n">
        <v>5</v>
      </c>
      <c r="S61" s="56" t="n">
        <v>0.333333333333333</v>
      </c>
    </row>
    <row r="62" customFormat="false" ht="15.75" hidden="false" customHeight="true" outlineLevel="0" collapsed="false">
      <c r="A62" s="52" t="n">
        <v>6</v>
      </c>
      <c r="B62" s="53" t="n">
        <v>2.207</v>
      </c>
      <c r="C62" s="53" t="n">
        <v>2.113</v>
      </c>
      <c r="D62" s="53" t="n">
        <v>1.163</v>
      </c>
      <c r="E62" s="54" t="n">
        <v>0.987</v>
      </c>
      <c r="F62" s="53" t="n">
        <v>1.163</v>
      </c>
      <c r="G62" s="54" t="n">
        <v>0.96</v>
      </c>
      <c r="H62" s="54" t="n">
        <v>1.022</v>
      </c>
      <c r="I62" s="54" t="n">
        <v>0.811</v>
      </c>
      <c r="J62" s="53" t="n">
        <v>1.755</v>
      </c>
      <c r="K62" s="53" t="n">
        <v>1.559</v>
      </c>
      <c r="L62" s="53" t="n">
        <v>1.2</v>
      </c>
      <c r="M62" s="53" t="n">
        <v>2.074</v>
      </c>
      <c r="N62" s="53" t="n">
        <v>1.393</v>
      </c>
      <c r="O62" s="53" t="n">
        <v>1.477</v>
      </c>
      <c r="P62" s="53" t="n">
        <v>2.41</v>
      </c>
      <c r="Q62" s="49" t="n">
        <v>1.393</v>
      </c>
      <c r="R62" s="55" t="n">
        <v>4</v>
      </c>
      <c r="S62" s="56" t="n">
        <v>0.266666666666667</v>
      </c>
    </row>
    <row r="63" customFormat="false" ht="15.75" hidden="false" customHeight="true" outlineLevel="0" collapsed="false">
      <c r="A63" s="52" t="n">
        <v>7</v>
      </c>
      <c r="B63" s="53" t="n">
        <v>2.038</v>
      </c>
      <c r="C63" s="53" t="n">
        <v>1.901</v>
      </c>
      <c r="D63" s="54" t="n">
        <v>0.851</v>
      </c>
      <c r="E63" s="54" t="n">
        <v>0.971</v>
      </c>
      <c r="F63" s="53" t="n">
        <v>1.145</v>
      </c>
      <c r="G63" s="54" t="n">
        <v>0.834</v>
      </c>
      <c r="H63" s="54" t="n">
        <v>1.038</v>
      </c>
      <c r="I63" s="54" t="n">
        <v>0.841</v>
      </c>
      <c r="J63" s="53" t="n">
        <v>1.773</v>
      </c>
      <c r="K63" s="53" t="n">
        <v>1.748</v>
      </c>
      <c r="L63" s="53" t="n">
        <v>1.25</v>
      </c>
      <c r="M63" s="53" t="n">
        <v>2.546</v>
      </c>
      <c r="N63" s="53" t="n">
        <v>1.463</v>
      </c>
      <c r="O63" s="53" t="n">
        <v>1.551</v>
      </c>
      <c r="P63" s="53" t="n">
        <v>2.623</v>
      </c>
      <c r="Q63" s="49" t="n">
        <v>1.463</v>
      </c>
      <c r="R63" s="55" t="n">
        <v>5</v>
      </c>
      <c r="S63" s="56" t="n">
        <v>0.333333333333333</v>
      </c>
    </row>
    <row r="64" customFormat="false" ht="15.75" hidden="false" customHeight="true" outlineLevel="0" collapsed="false">
      <c r="A64" s="52" t="n">
        <v>8</v>
      </c>
      <c r="B64" s="53" t="n">
        <v>1.778</v>
      </c>
      <c r="C64" s="53" t="n">
        <v>1.899</v>
      </c>
      <c r="D64" s="54" t="n">
        <v>0.858</v>
      </c>
      <c r="E64" s="53" t="n">
        <v>1.181</v>
      </c>
      <c r="F64" s="53" t="n">
        <v>1.11</v>
      </c>
      <c r="G64" s="54" t="n">
        <v>1.045</v>
      </c>
      <c r="H64" s="54" t="n">
        <v>1.098</v>
      </c>
      <c r="I64" s="54" t="n">
        <v>0.779</v>
      </c>
      <c r="J64" s="53" t="n">
        <v>2.226</v>
      </c>
      <c r="K64" s="53" t="n">
        <v>1.874</v>
      </c>
      <c r="L64" s="53" t="n">
        <v>1.196</v>
      </c>
      <c r="M64" s="53" t="n">
        <v>2.423</v>
      </c>
      <c r="N64" s="53" t="n">
        <v>1.996</v>
      </c>
      <c r="O64" s="53" t="n">
        <v>1.637</v>
      </c>
      <c r="P64" s="53" t="n">
        <v>2.547</v>
      </c>
      <c r="Q64" s="49" t="n">
        <v>1.637</v>
      </c>
      <c r="R64" s="55" t="n">
        <v>4</v>
      </c>
      <c r="S64" s="56" t="n">
        <v>0.266666666666667</v>
      </c>
    </row>
    <row r="65" customFormat="false" ht="15.75" hidden="false" customHeight="true" outlineLevel="0" collapsed="false">
      <c r="A65" s="52" t="n">
        <v>9</v>
      </c>
      <c r="B65" s="53" t="n">
        <v>1.454</v>
      </c>
      <c r="C65" s="53" t="n">
        <v>1.938</v>
      </c>
      <c r="D65" s="54" t="n">
        <v>0.846</v>
      </c>
      <c r="E65" s="54" t="n">
        <v>0.869</v>
      </c>
      <c r="F65" s="53" t="n">
        <v>1.226</v>
      </c>
      <c r="G65" s="54" t="n">
        <v>0.824</v>
      </c>
      <c r="H65" s="54" t="n">
        <v>1.043</v>
      </c>
      <c r="I65" s="54" t="n">
        <v>0.733</v>
      </c>
      <c r="J65" s="53" t="n">
        <v>2.093</v>
      </c>
      <c r="K65" s="53" t="n">
        <v>1.884</v>
      </c>
      <c r="L65" s="53" t="n">
        <v>1.412</v>
      </c>
      <c r="M65" s="53" t="n">
        <v>2.335</v>
      </c>
      <c r="N65" s="53" t="n">
        <v>1.874</v>
      </c>
      <c r="O65" s="53" t="n">
        <v>1.798</v>
      </c>
      <c r="P65" s="53" t="n">
        <v>2.773</v>
      </c>
      <c r="Q65" s="49" t="n">
        <v>1.454</v>
      </c>
      <c r="R65" s="55" t="n">
        <v>5</v>
      </c>
      <c r="S65" s="56" t="n">
        <v>0.333333333333333</v>
      </c>
    </row>
    <row r="66" customFormat="false" ht="15.75" hidden="false" customHeight="true" outlineLevel="0" collapsed="false">
      <c r="A66" s="52" t="n">
        <v>10</v>
      </c>
      <c r="B66" s="53" t="n">
        <v>1.767</v>
      </c>
      <c r="C66" s="53" t="n">
        <v>2.243</v>
      </c>
      <c r="D66" s="54" t="n">
        <v>0.933</v>
      </c>
      <c r="E66" s="54" t="n">
        <v>1.005</v>
      </c>
      <c r="F66" s="53" t="n">
        <v>1.312</v>
      </c>
      <c r="G66" s="54" t="n">
        <v>1.026</v>
      </c>
      <c r="H66" s="54" t="n">
        <v>0.963</v>
      </c>
      <c r="I66" s="54" t="n">
        <v>0.627</v>
      </c>
      <c r="J66" s="53" t="n">
        <v>2.642</v>
      </c>
      <c r="K66" s="53" t="n">
        <v>1.563</v>
      </c>
      <c r="L66" s="53" t="n">
        <v>1.285</v>
      </c>
      <c r="M66" s="53" t="n">
        <v>2.289</v>
      </c>
      <c r="N66" s="53" t="n">
        <v>1.782</v>
      </c>
      <c r="O66" s="53" t="n">
        <v>2.325</v>
      </c>
      <c r="P66" s="53" t="n">
        <v>3.216</v>
      </c>
      <c r="Q66" s="49" t="n">
        <v>1.563</v>
      </c>
      <c r="R66" s="55" t="n">
        <v>5</v>
      </c>
      <c r="S66" s="56" t="n">
        <v>0.333333333333333</v>
      </c>
    </row>
    <row r="67" customFormat="false" ht="15.75" hidden="false" customHeight="true" outlineLevel="0" collapsed="false">
      <c r="A67" s="52" t="n">
        <v>11</v>
      </c>
      <c r="B67" s="53" t="n">
        <v>1.939</v>
      </c>
      <c r="C67" s="53" t="n">
        <v>1.854</v>
      </c>
      <c r="D67" s="53" t="n">
        <v>1.183</v>
      </c>
      <c r="E67" s="53" t="n">
        <v>1.185</v>
      </c>
      <c r="F67" s="53" t="n">
        <v>1.274</v>
      </c>
      <c r="G67" s="54" t="n">
        <v>1.067</v>
      </c>
      <c r="H67" s="54" t="n">
        <v>1</v>
      </c>
      <c r="I67" s="54" t="n">
        <v>0.569</v>
      </c>
      <c r="J67" s="53" t="n">
        <v>2.918</v>
      </c>
      <c r="K67" s="53" t="n">
        <v>1.669</v>
      </c>
      <c r="L67" s="53" t="n">
        <v>1.274</v>
      </c>
      <c r="M67" s="53" t="n">
        <v>1.973</v>
      </c>
      <c r="N67" s="53" t="n">
        <v>1.676</v>
      </c>
      <c r="O67" s="53" t="n">
        <v>2.307</v>
      </c>
      <c r="P67" s="53" t="n">
        <v>3.601</v>
      </c>
      <c r="Q67" s="49" t="n">
        <v>1.669</v>
      </c>
      <c r="R67" s="55" t="n">
        <v>3</v>
      </c>
      <c r="S67" s="56" t="n">
        <v>0.2</v>
      </c>
    </row>
    <row r="68" customFormat="false" ht="15.75" hidden="false" customHeight="true" outlineLevel="0" collapsed="false">
      <c r="A68" s="52" t="n">
        <v>12</v>
      </c>
      <c r="B68" s="53" t="n">
        <v>1.953</v>
      </c>
      <c r="C68" s="53" t="n">
        <v>2.262</v>
      </c>
      <c r="D68" s="53" t="n">
        <v>1.374</v>
      </c>
      <c r="E68" s="54" t="n">
        <v>0.935</v>
      </c>
      <c r="F68" s="53" t="n">
        <v>1.486</v>
      </c>
      <c r="G68" s="54" t="n">
        <v>1.069</v>
      </c>
      <c r="H68" s="54" t="n">
        <v>0.9</v>
      </c>
      <c r="I68" s="54" t="n">
        <v>0.49</v>
      </c>
      <c r="J68" s="53" t="n">
        <v>2.765</v>
      </c>
      <c r="K68" s="53" t="n">
        <v>1.736</v>
      </c>
      <c r="L68" s="53" t="n">
        <v>1.225</v>
      </c>
      <c r="M68" s="53" t="n">
        <v>1.79</v>
      </c>
      <c r="N68" s="53" t="n">
        <v>1.589</v>
      </c>
      <c r="O68" s="53" t="n">
        <v>2.124</v>
      </c>
      <c r="P68" s="53" t="n">
        <v>3.882</v>
      </c>
      <c r="Q68" s="49" t="n">
        <v>1.589</v>
      </c>
      <c r="R68" s="55" t="n">
        <v>4</v>
      </c>
      <c r="S68" s="56" t="n">
        <v>0.266666666666667</v>
      </c>
    </row>
    <row r="69" customFormat="false" ht="15.75" hidden="false" customHeight="true" outlineLevel="0" collapsed="false">
      <c r="A69" s="52" t="n">
        <v>13</v>
      </c>
      <c r="B69" s="53" t="n">
        <v>2.048</v>
      </c>
      <c r="C69" s="53" t="n">
        <v>2.25</v>
      </c>
      <c r="D69" s="53" t="n">
        <v>1.349</v>
      </c>
      <c r="E69" s="54" t="n">
        <v>0.91</v>
      </c>
      <c r="F69" s="53" t="n">
        <v>1.322</v>
      </c>
      <c r="G69" s="54" t="n">
        <v>1.015</v>
      </c>
      <c r="H69" s="54" t="n">
        <v>0.959</v>
      </c>
      <c r="I69" s="54" t="n">
        <v>0.442</v>
      </c>
      <c r="J69" s="53" t="n">
        <v>3.026</v>
      </c>
      <c r="K69" s="53" t="n">
        <v>1.819</v>
      </c>
      <c r="L69" s="53" t="n">
        <v>1.48</v>
      </c>
      <c r="M69" s="53" t="n">
        <v>1.608</v>
      </c>
      <c r="N69" s="53" t="n">
        <v>1.491</v>
      </c>
      <c r="O69" s="53" t="n">
        <v>1.823</v>
      </c>
      <c r="P69" s="53" t="n">
        <v>4.478</v>
      </c>
      <c r="Q69" s="49" t="n">
        <v>1.491</v>
      </c>
      <c r="R69" s="55" t="n">
        <v>4</v>
      </c>
      <c r="S69" s="56" t="n">
        <v>0.266666666666667</v>
      </c>
    </row>
    <row r="70" customFormat="false" ht="15.75" hidden="false" customHeight="true" outlineLevel="0" collapsed="false">
      <c r="A70" s="52" t="n">
        <v>14</v>
      </c>
      <c r="B70" s="53" t="n">
        <v>1.813</v>
      </c>
      <c r="C70" s="53" t="n">
        <v>2.167</v>
      </c>
      <c r="D70" s="53" t="n">
        <v>1.197</v>
      </c>
      <c r="E70" s="54" t="n">
        <v>0.882</v>
      </c>
      <c r="F70" s="53" t="n">
        <v>1.444</v>
      </c>
      <c r="G70" s="54" t="n">
        <v>1.08</v>
      </c>
      <c r="H70" s="54" t="n">
        <v>0.792</v>
      </c>
      <c r="I70" s="54" t="n">
        <v>0.509</v>
      </c>
      <c r="J70" s="53" t="n">
        <v>3.451</v>
      </c>
      <c r="K70" s="53" t="n">
        <v>1.58</v>
      </c>
      <c r="L70" s="53" t="n">
        <v>1.536</v>
      </c>
      <c r="M70" s="53" t="n">
        <v>1.486</v>
      </c>
      <c r="N70" s="53" t="n">
        <v>1.746</v>
      </c>
      <c r="O70" s="53" t="n">
        <v>1.692</v>
      </c>
      <c r="P70" s="53" t="n">
        <v>5.23</v>
      </c>
      <c r="Q70" s="49" t="n">
        <v>1.536</v>
      </c>
      <c r="R70" s="55" t="n">
        <v>4</v>
      </c>
      <c r="S70" s="56" t="n">
        <v>0.266666666666667</v>
      </c>
    </row>
    <row r="71" customFormat="false" ht="15.75" hidden="false" customHeight="true" outlineLevel="0" collapsed="false">
      <c r="A71" s="52" t="n">
        <v>15</v>
      </c>
      <c r="B71" s="53" t="n">
        <v>2.471</v>
      </c>
      <c r="C71" s="53" t="n">
        <v>1.944</v>
      </c>
      <c r="D71" s="53" t="n">
        <v>1.656</v>
      </c>
      <c r="E71" s="54" t="n">
        <v>0.755</v>
      </c>
      <c r="F71" s="53" t="n">
        <v>1.573</v>
      </c>
      <c r="G71" s="54" t="n">
        <v>1.09</v>
      </c>
      <c r="H71" s="54" t="n">
        <v>0.909</v>
      </c>
      <c r="I71" s="54" t="n">
        <v>0.46</v>
      </c>
      <c r="J71" s="53" t="n">
        <v>3.773</v>
      </c>
      <c r="K71" s="53" t="n">
        <v>1.406</v>
      </c>
      <c r="L71" s="53" t="n">
        <v>1.765</v>
      </c>
      <c r="M71" s="53" t="n">
        <v>1.5</v>
      </c>
      <c r="N71" s="53" t="n">
        <v>2.102</v>
      </c>
      <c r="O71" s="53" t="n">
        <v>1.709</v>
      </c>
      <c r="P71" s="53" t="n">
        <v>6.268</v>
      </c>
      <c r="Q71" s="49" t="n">
        <v>1.656</v>
      </c>
      <c r="R71" s="55" t="n">
        <v>4</v>
      </c>
      <c r="S71" s="56" t="n">
        <v>0.266666666666667</v>
      </c>
    </row>
    <row r="72" customFormat="false" ht="15.75" hidden="false" customHeight="true" outlineLevel="0" collapsed="false">
      <c r="A72" s="52" t="n">
        <v>16</v>
      </c>
      <c r="B72" s="53" t="n">
        <v>2.545</v>
      </c>
      <c r="C72" s="53" t="n">
        <v>1.614</v>
      </c>
      <c r="D72" s="53" t="n">
        <v>1.691</v>
      </c>
      <c r="E72" s="54" t="n">
        <v>0.696</v>
      </c>
      <c r="F72" s="53" t="n">
        <v>1.537</v>
      </c>
      <c r="G72" s="53" t="n">
        <v>1.263</v>
      </c>
      <c r="H72" s="54" t="n">
        <v>0.976</v>
      </c>
      <c r="I72" s="54" t="n">
        <v>0.641</v>
      </c>
      <c r="J72" s="53" t="n">
        <v>3.164</v>
      </c>
      <c r="K72" s="53" t="n">
        <v>1.619</v>
      </c>
      <c r="L72" s="53" t="n">
        <v>1.495</v>
      </c>
      <c r="M72" s="53" t="n">
        <v>1.565</v>
      </c>
      <c r="N72" s="53" t="n">
        <v>1.99</v>
      </c>
      <c r="O72" s="53" t="n">
        <v>2.153</v>
      </c>
      <c r="P72" s="53" t="n">
        <v>6.875</v>
      </c>
      <c r="Q72" s="49" t="n">
        <v>1.614</v>
      </c>
      <c r="R72" s="55" t="n">
        <v>3</v>
      </c>
      <c r="S72" s="56" t="n">
        <v>0.2</v>
      </c>
    </row>
    <row r="73" customFormat="false" ht="15.75" hidden="false" customHeight="true" outlineLevel="0" collapsed="false">
      <c r="A73" s="52" t="n">
        <v>17</v>
      </c>
      <c r="B73" s="53" t="n">
        <v>2.615</v>
      </c>
      <c r="C73" s="53" t="n">
        <v>1.807</v>
      </c>
      <c r="D73" s="53" t="n">
        <v>1.718</v>
      </c>
      <c r="E73" s="54" t="n">
        <v>0.617</v>
      </c>
      <c r="F73" s="53" t="n">
        <v>1.621</v>
      </c>
      <c r="G73" s="53" t="n">
        <v>1.299</v>
      </c>
      <c r="H73" s="54" t="n">
        <v>1.021</v>
      </c>
      <c r="I73" s="54" t="n">
        <v>0.69</v>
      </c>
      <c r="J73" s="53" t="n">
        <v>2.938</v>
      </c>
      <c r="K73" s="53" t="n">
        <v>1.634</v>
      </c>
      <c r="L73" s="53" t="n">
        <v>1.566</v>
      </c>
      <c r="M73" s="53" t="n">
        <v>1.914</v>
      </c>
      <c r="N73" s="53" t="n">
        <v>1.824</v>
      </c>
      <c r="O73" s="53" t="n">
        <v>2.051</v>
      </c>
      <c r="P73" s="53" t="n">
        <v>6.831</v>
      </c>
      <c r="Q73" s="49" t="n">
        <v>1.718</v>
      </c>
      <c r="R73" s="55" t="n">
        <v>3</v>
      </c>
      <c r="S73" s="56" t="n">
        <v>0.2</v>
      </c>
    </row>
    <row r="74" customFormat="false" ht="15.75" hidden="false" customHeight="true" outlineLevel="0" collapsed="false">
      <c r="A74" s="52" t="n">
        <v>18</v>
      </c>
      <c r="B74" s="53" t="n">
        <v>2.894</v>
      </c>
      <c r="C74" s="53" t="n">
        <v>1.849</v>
      </c>
      <c r="D74" s="53" t="n">
        <v>1.737</v>
      </c>
      <c r="E74" s="54" t="n">
        <v>0.774</v>
      </c>
      <c r="F74" s="53" t="n">
        <v>1.413</v>
      </c>
      <c r="G74" s="53" t="n">
        <v>1.341</v>
      </c>
      <c r="H74" s="53" t="n">
        <v>1.166</v>
      </c>
      <c r="I74" s="54" t="n">
        <v>0.715</v>
      </c>
      <c r="J74" s="53" t="n">
        <v>2.892</v>
      </c>
      <c r="K74" s="53" t="n">
        <v>1.8</v>
      </c>
      <c r="L74" s="53" t="n">
        <v>1.768</v>
      </c>
      <c r="M74" s="53" t="n">
        <v>1.72</v>
      </c>
      <c r="N74" s="53" t="n">
        <v>1.958</v>
      </c>
      <c r="O74" s="53" t="n">
        <v>2.136</v>
      </c>
      <c r="P74" s="53" t="n">
        <v>7.051</v>
      </c>
      <c r="Q74" s="49" t="n">
        <v>1.768</v>
      </c>
      <c r="R74" s="55" t="n">
        <v>2</v>
      </c>
      <c r="S74" s="56" t="n">
        <v>0.133333333333333</v>
      </c>
    </row>
    <row r="75" customFormat="false" ht="15.75" hidden="false" customHeight="true" outlineLevel="0" collapsed="false">
      <c r="A75" s="52" t="n">
        <v>19</v>
      </c>
      <c r="B75" s="53" t="n">
        <v>3.111</v>
      </c>
      <c r="C75" s="53" t="n">
        <v>1.604</v>
      </c>
      <c r="D75" s="53" t="n">
        <v>1.804</v>
      </c>
      <c r="E75" s="54" t="n">
        <v>0.879</v>
      </c>
      <c r="F75" s="53" t="n">
        <v>1.602</v>
      </c>
      <c r="G75" s="53" t="n">
        <v>1.301</v>
      </c>
      <c r="H75" s="53" t="n">
        <v>1.446</v>
      </c>
      <c r="I75" s="54" t="n">
        <v>0.654</v>
      </c>
      <c r="J75" s="53" t="n">
        <v>2.906</v>
      </c>
      <c r="K75" s="53" t="n">
        <v>1.831</v>
      </c>
      <c r="L75" s="53" t="n">
        <v>1.811</v>
      </c>
      <c r="M75" s="53" t="n">
        <v>1.964</v>
      </c>
      <c r="N75" s="53" t="n">
        <v>1.858</v>
      </c>
      <c r="O75" s="53" t="n">
        <v>2.162</v>
      </c>
      <c r="P75" s="53" t="n">
        <v>8.273</v>
      </c>
      <c r="Q75" s="49" t="n">
        <v>1.811</v>
      </c>
      <c r="R75" s="55" t="n">
        <v>2</v>
      </c>
      <c r="S75" s="56" t="n">
        <v>0.133333333333333</v>
      </c>
    </row>
    <row r="76" customFormat="false" ht="15.75" hidden="false" customHeight="true" outlineLevel="0" collapsed="false">
      <c r="A76" s="47" t="n">
        <v>20</v>
      </c>
      <c r="B76" s="53" t="n">
        <v>3.241</v>
      </c>
      <c r="C76" s="53" t="n">
        <v>1.391</v>
      </c>
      <c r="D76" s="53" t="n">
        <v>1.797</v>
      </c>
      <c r="E76" s="54" t="n">
        <v>1.039</v>
      </c>
      <c r="F76" s="53" t="n">
        <v>1.588</v>
      </c>
      <c r="G76" s="53" t="n">
        <v>1.311</v>
      </c>
      <c r="H76" s="53" t="n">
        <v>1.657</v>
      </c>
      <c r="I76" s="54" t="n">
        <v>0.721</v>
      </c>
      <c r="J76" s="53" t="n">
        <v>3.176</v>
      </c>
      <c r="K76" s="53" t="n">
        <v>1.863</v>
      </c>
      <c r="L76" s="53" t="n">
        <v>2.089</v>
      </c>
      <c r="M76" s="53" t="n">
        <v>1.941</v>
      </c>
      <c r="N76" s="53" t="n">
        <v>2.033</v>
      </c>
      <c r="O76" s="53" t="n">
        <v>2.531</v>
      </c>
      <c r="P76" s="53" t="n">
        <v>7.599</v>
      </c>
      <c r="Q76" s="49" t="n">
        <v>1.863</v>
      </c>
      <c r="R76" s="55" t="n">
        <v>2</v>
      </c>
      <c r="S76" s="56" t="n">
        <v>0.133333333333333</v>
      </c>
    </row>
    <row r="81" customFormat="false" ht="24" hidden="false" customHeight="true" outlineLevel="0" collapsed="false">
      <c r="A81" s="63" t="s">
        <v>88</v>
      </c>
      <c r="B81" s="63"/>
      <c r="C81" s="63"/>
      <c r="D81" s="63"/>
      <c r="E81" s="63"/>
      <c r="F81" s="63"/>
      <c r="G81" s="63"/>
      <c r="H81" s="63"/>
    </row>
    <row r="82" customFormat="false" ht="31.5" hidden="false" customHeight="true" outlineLevel="0" collapsed="false">
      <c r="A82" s="44" t="s">
        <v>89</v>
      </c>
      <c r="B82" s="44" t="s">
        <v>90</v>
      </c>
      <c r="C82" s="44" t="s">
        <v>91</v>
      </c>
      <c r="D82" s="44" t="s">
        <v>92</v>
      </c>
      <c r="E82" s="44" t="s">
        <v>93</v>
      </c>
      <c r="F82" s="44" t="s">
        <v>94</v>
      </c>
      <c r="G82" s="44" t="s">
        <v>95</v>
      </c>
      <c r="H82" s="44" t="s">
        <v>96</v>
      </c>
    </row>
    <row r="83" customFormat="false" ht="19.5" hidden="false" customHeight="true" outlineLevel="0" collapsed="false">
      <c r="A83" s="64" t="s">
        <v>20</v>
      </c>
      <c r="B83" s="65" t="n">
        <v>0.04</v>
      </c>
      <c r="C83" s="65" t="n">
        <v>0.0367</v>
      </c>
      <c r="D83" s="66" t="n">
        <v>0.973807766392879</v>
      </c>
      <c r="E83" s="67" t="n">
        <v>0.770438231934014</v>
      </c>
      <c r="F83" s="67" t="n">
        <v>1.35557637280974</v>
      </c>
      <c r="G83" s="68" t="n">
        <v>13</v>
      </c>
      <c r="H83" s="56" t="n">
        <v>0.866666666666667</v>
      </c>
    </row>
    <row r="84" customFormat="false" ht="19.5" hidden="false" customHeight="true" outlineLevel="0" collapsed="false">
      <c r="A84" s="69" t="s">
        <v>21</v>
      </c>
      <c r="B84" s="65" t="n">
        <v>0.055</v>
      </c>
      <c r="C84" s="65" t="n">
        <v>0.0776</v>
      </c>
      <c r="D84" s="66" t="n">
        <v>1.22801829462341</v>
      </c>
      <c r="E84" s="67" t="n">
        <v>0.601234648588031</v>
      </c>
      <c r="F84" s="67" t="n">
        <v>2.56232909925256</v>
      </c>
      <c r="G84" s="68" t="n">
        <v>11</v>
      </c>
      <c r="H84" s="56" t="n">
        <v>0.733333333333333</v>
      </c>
    </row>
    <row r="85" customFormat="false" ht="19.5" hidden="false" customHeight="true" outlineLevel="0" collapsed="false">
      <c r="A85" s="70" t="s">
        <v>22</v>
      </c>
      <c r="B85" s="65" t="n">
        <v>0.07</v>
      </c>
      <c r="C85" s="65" t="n">
        <v>0.1209</v>
      </c>
      <c r="D85" s="66" t="n">
        <v>1.86329954275599</v>
      </c>
      <c r="E85" s="67" t="n">
        <v>0.721457819550697</v>
      </c>
      <c r="F85" s="67" t="n">
        <v>7.59946403863002</v>
      </c>
      <c r="G85" s="68" t="n">
        <v>8</v>
      </c>
      <c r="H85" s="56" t="n">
        <v>0.533333333333333</v>
      </c>
    </row>
  </sheetData>
  <mergeCells count="6">
    <mergeCell ref="A1:R1"/>
    <mergeCell ref="A2:R2"/>
    <mergeCell ref="A4:T4"/>
    <mergeCell ref="A29:T29"/>
    <mergeCell ref="A54:T54"/>
    <mergeCell ref="A81:H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42"/>
    <col collapsed="false" customWidth="true" hidden="false" outlineLevel="0" max="7" min="5" style="0" width="2"/>
  </cols>
  <sheetData>
    <row r="1" customFormat="false" ht="27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71" t="s">
        <v>98</v>
      </c>
      <c r="B2" s="71"/>
      <c r="C2" s="71"/>
      <c r="D2" s="71"/>
      <c r="E2" s="71"/>
      <c r="F2" s="71"/>
      <c r="G2" s="71"/>
    </row>
    <row r="3" customFormat="false" ht="27.75" hidden="false" customHeight="true" outlineLevel="0" collapsed="false">
      <c r="A3" s="40" t="s">
        <v>99</v>
      </c>
      <c r="B3" s="72" t="s">
        <v>100</v>
      </c>
      <c r="C3" s="73" t="s">
        <v>101</v>
      </c>
      <c r="D3" s="73"/>
      <c r="E3" s="73"/>
      <c r="F3" s="73"/>
      <c r="G3" s="73"/>
    </row>
    <row r="4" customFormat="false" ht="27.75" hidden="false" customHeight="true" outlineLevel="0" collapsed="false">
      <c r="A4" s="40"/>
    </row>
    <row r="5" customFormat="false" ht="27.75" hidden="false" customHeight="true" outlineLevel="0" collapsed="false">
      <c r="A5" s="40" t="s">
        <v>102</v>
      </c>
      <c r="B5" s="72" t="s">
        <v>103</v>
      </c>
      <c r="C5" s="74" t="s">
        <v>104</v>
      </c>
      <c r="D5" s="74"/>
      <c r="E5" s="74"/>
      <c r="F5" s="74"/>
      <c r="G5" s="74"/>
    </row>
    <row r="6" customFormat="false" ht="27.75" hidden="false" customHeight="true" outlineLevel="0" collapsed="false">
      <c r="A6" s="40"/>
      <c r="C6" s="74"/>
      <c r="D6" s="74"/>
      <c r="E6" s="74"/>
      <c r="F6" s="74"/>
      <c r="G6" s="74"/>
    </row>
    <row r="7" customFormat="false" ht="27.75" hidden="false" customHeight="true" outlineLevel="0" collapsed="false">
      <c r="A7" s="40" t="s">
        <v>105</v>
      </c>
      <c r="B7" s="72" t="s">
        <v>106</v>
      </c>
      <c r="C7" s="73" t="s">
        <v>107</v>
      </c>
      <c r="D7" s="73"/>
      <c r="E7" s="73"/>
      <c r="F7" s="73"/>
      <c r="G7" s="73"/>
    </row>
    <row r="8" customFormat="false" ht="27.75" hidden="false" customHeight="true" outlineLevel="0" collapsed="false">
      <c r="A8" s="40"/>
      <c r="C8" s="73"/>
      <c r="D8" s="73"/>
      <c r="E8" s="73"/>
      <c r="F8" s="73"/>
      <c r="G8" s="73"/>
    </row>
    <row r="9" customFormat="false" ht="27.75" hidden="false" customHeight="true" outlineLevel="0" collapsed="false">
      <c r="A9" s="40" t="s">
        <v>108</v>
      </c>
      <c r="B9" s="72" t="s">
        <v>109</v>
      </c>
      <c r="C9" s="74" t="s">
        <v>110</v>
      </c>
      <c r="D9" s="74"/>
      <c r="E9" s="74"/>
      <c r="F9" s="74"/>
      <c r="G9" s="74"/>
    </row>
    <row r="10" customFormat="false" ht="27.75" hidden="false" customHeight="true" outlineLevel="0" collapsed="false">
      <c r="A10" s="40"/>
      <c r="C10" s="74"/>
      <c r="D10" s="74"/>
      <c r="E10" s="74"/>
      <c r="F10" s="74"/>
      <c r="G10" s="74"/>
    </row>
    <row r="11" customFormat="false" ht="27.75" hidden="false" customHeight="true" outlineLevel="0" collapsed="false">
      <c r="A11" s="40" t="s">
        <v>111</v>
      </c>
      <c r="B11" s="72" t="s">
        <v>112</v>
      </c>
      <c r="C11" s="73" t="s">
        <v>113</v>
      </c>
      <c r="D11" s="73"/>
      <c r="E11" s="73"/>
      <c r="F11" s="73"/>
      <c r="G11" s="73"/>
    </row>
    <row r="12" customFormat="false" ht="27.75" hidden="false" customHeight="true" outlineLevel="0" collapsed="false">
      <c r="A12" s="40"/>
      <c r="C12" s="73"/>
      <c r="D12" s="73"/>
      <c r="E12" s="73"/>
      <c r="F12" s="73"/>
      <c r="G12" s="73"/>
    </row>
    <row r="13" customFormat="false" ht="27.75" hidden="false" customHeight="true" outlineLevel="0" collapsed="false">
      <c r="A13" s="40" t="s">
        <v>114</v>
      </c>
      <c r="B13" s="72" t="s">
        <v>115</v>
      </c>
      <c r="C13" s="74" t="s">
        <v>116</v>
      </c>
      <c r="D13" s="74"/>
      <c r="E13" s="74"/>
      <c r="F13" s="74"/>
      <c r="G13" s="74"/>
    </row>
    <row r="14" customFormat="false" ht="27.75" hidden="false" customHeight="true" outlineLevel="0" collapsed="false">
      <c r="A14" s="40"/>
      <c r="C14" s="74"/>
      <c r="D14" s="74"/>
      <c r="E14" s="74"/>
      <c r="F14" s="74"/>
      <c r="G14" s="74"/>
    </row>
    <row r="15" customFormat="false" ht="6" hidden="false" customHeight="true" outlineLevel="0" collapsed="false"/>
    <row r="16" customFormat="false" ht="21.75" hidden="false" customHeight="true" outlineLevel="0" collapsed="false">
      <c r="A16" s="43" t="s">
        <v>117</v>
      </c>
      <c r="B16" s="43"/>
      <c r="C16" s="43"/>
      <c r="D16" s="43"/>
      <c r="E16" s="43"/>
      <c r="F16" s="43"/>
      <c r="G16" s="43"/>
    </row>
    <row r="17" customFormat="false" ht="21.75" hidden="false" customHeight="true" outlineLevel="0" collapsed="false">
      <c r="A17" s="44" t="s">
        <v>118</v>
      </c>
      <c r="B17" s="44" t="s">
        <v>119</v>
      </c>
      <c r="C17" s="44" t="s">
        <v>120</v>
      </c>
      <c r="D17" s="44" t="s">
        <v>121</v>
      </c>
    </row>
    <row r="18" customFormat="false" ht="51.75" hidden="false" customHeight="true" outlineLevel="0" collapsed="false">
      <c r="A18" s="75" t="s">
        <v>122</v>
      </c>
      <c r="B18" s="76" t="s">
        <v>123</v>
      </c>
      <c r="C18" s="75" t="s">
        <v>124</v>
      </c>
      <c r="D18" s="75" t="s">
        <v>125</v>
      </c>
    </row>
    <row r="19" customFormat="false" ht="51.75" hidden="false" customHeight="true" outlineLevel="0" collapsed="false">
      <c r="A19" s="77" t="s">
        <v>122</v>
      </c>
      <c r="B19" s="78" t="s">
        <v>126</v>
      </c>
      <c r="C19" s="77" t="s">
        <v>127</v>
      </c>
      <c r="D19" s="77" t="s">
        <v>128</v>
      </c>
    </row>
    <row r="20" customFormat="false" ht="51.75" hidden="false" customHeight="true" outlineLevel="0" collapsed="false">
      <c r="A20" s="75" t="s">
        <v>122</v>
      </c>
      <c r="B20" s="76" t="s">
        <v>129</v>
      </c>
      <c r="C20" s="75" t="s">
        <v>130</v>
      </c>
      <c r="D20" s="75" t="s">
        <v>131</v>
      </c>
    </row>
    <row r="21" customFormat="false" ht="51.75" hidden="false" customHeight="true" outlineLevel="0" collapsed="false">
      <c r="A21" s="77" t="s">
        <v>122</v>
      </c>
      <c r="B21" s="78" t="s">
        <v>132</v>
      </c>
      <c r="C21" s="77" t="s">
        <v>133</v>
      </c>
      <c r="D21" s="77" t="s">
        <v>134</v>
      </c>
    </row>
    <row r="22" customFormat="false" ht="51.75" hidden="false" customHeight="true" outlineLevel="0" collapsed="false">
      <c r="A22" s="75" t="s">
        <v>135</v>
      </c>
      <c r="B22" s="76" t="s">
        <v>136</v>
      </c>
      <c r="C22" s="75" t="s">
        <v>137</v>
      </c>
      <c r="D22" s="75" t="s">
        <v>138</v>
      </c>
    </row>
    <row r="23" customFormat="false" ht="51.75" hidden="false" customHeight="true" outlineLevel="0" collapsed="false">
      <c r="A23" s="77" t="s">
        <v>139</v>
      </c>
      <c r="B23" s="78" t="s">
        <v>140</v>
      </c>
      <c r="C23" s="77" t="s">
        <v>141</v>
      </c>
      <c r="D23" s="77" t="s">
        <v>142</v>
      </c>
    </row>
    <row r="24" customFormat="false" ht="51.75" hidden="false" customHeight="true" outlineLevel="0" collapsed="false">
      <c r="A24" s="75" t="s">
        <v>143</v>
      </c>
      <c r="B24" s="76" t="s">
        <v>144</v>
      </c>
      <c r="C24" s="75" t="s">
        <v>145</v>
      </c>
      <c r="D24" s="75" t="s">
        <v>146</v>
      </c>
    </row>
    <row r="25" customFormat="false" ht="51.75" hidden="false" customHeight="true" outlineLevel="0" collapsed="false">
      <c r="A25" s="77" t="s">
        <v>147</v>
      </c>
      <c r="B25" s="78" t="s">
        <v>148</v>
      </c>
      <c r="C25" s="77" t="s">
        <v>149</v>
      </c>
      <c r="D25" s="77" t="s">
        <v>150</v>
      </c>
    </row>
    <row r="26" customFormat="false" ht="51.75" hidden="false" customHeight="true" outlineLevel="0" collapsed="false">
      <c r="A26" s="75" t="s">
        <v>151</v>
      </c>
      <c r="B26" s="76" t="s">
        <v>152</v>
      </c>
      <c r="C26" s="75" t="s">
        <v>153</v>
      </c>
      <c r="D26" s="75" t="s">
        <v>154</v>
      </c>
    </row>
  </sheetData>
  <mergeCells count="15">
    <mergeCell ref="A1:G1"/>
    <mergeCell ref="A2:G2"/>
    <mergeCell ref="A3:A4"/>
    <mergeCell ref="C3:G3"/>
    <mergeCell ref="A5:A6"/>
    <mergeCell ref="C5:G6"/>
    <mergeCell ref="A7:A8"/>
    <mergeCell ref="C7:G8"/>
    <mergeCell ref="A9:A10"/>
    <mergeCell ref="C9:G10"/>
    <mergeCell ref="A11:A12"/>
    <mergeCell ref="C11:G12"/>
    <mergeCell ref="A13:A14"/>
    <mergeCell ref="C13:G14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2026-04-23T04:44:01Z</dcterms:created>
  <dc:creator>openpyxl</dc:creator>
  <dc:description/>
  <dc:language>en-US</dc:language>
  <cp:lastModifiedBy/>
  <dcterms:modified xsi:type="dcterms:W3CDTF">2026-04-23T04:44:22Z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