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Underwriting" sheetId="3" state="visible" r:id="rId5"/>
    <sheet name="Own Funds" sheetId="4" state="visible" r:id="rId6"/>
    <sheet name="Health UW Risk" sheetId="5" state="visible" r:id="rId7"/>
    <sheet name="Market Risk" sheetId="6" state="visible" r:id="rId8"/>
    <sheet name="Credit Risk" sheetId="7" state="visible" r:id="rId9"/>
    <sheet name="Op Risk" sheetId="8" state="visible" r:id="rId10"/>
    <sheet name="SCR Summary" sheetId="9" state="visible" r:id="rId11"/>
    <sheet name="ORSA Summar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<sst xmlns="http://schemas.openxmlformats.org/spreadsheetml/2006/main" count="581" uniqueCount="427">
  <si>
    <t xml:space="preserve">SOLVENCY II INTERNAL MODEL – HEALTH &amp; CARE INSURANCE  |  Prototype</t>
  </si>
  <si>
    <t xml:space="preserve">Reporting Date: 31 December 2024   |   Currency: EUR (000s)   |   Model Version: 1.0</t>
  </si>
  <si>
    <t xml:space="preserve">SCR Coverage Ratio</t>
  </si>
  <si>
    <t xml:space="preserve">Own Funds (€000s)</t>
  </si>
  <si>
    <t xml:space="preserve">SCR Total (€000s)</t>
  </si>
  <si>
    <t xml:space="preserve">MCR (€000s)</t>
  </si>
  <si>
    <t xml:space="preserve">MCR Coverage</t>
  </si>
  <si>
    <t xml:space="preserve">Combined Ratio</t>
  </si>
  <si>
    <t xml:space="preserve">MODEL NAVIGATION</t>
  </si>
  <si>
    <t xml:space="preserve">→  Assumptions</t>
  </si>
  <si>
    <t xml:space="preserve">Key input assumptions for all risk modules</t>
  </si>
  <si>
    <t xml:space="preserve">→  Underwriting</t>
  </si>
  <si>
    <t xml:space="preserve">Premium, claims, expense analysis &amp; combined ratio</t>
  </si>
  <si>
    <t xml:space="preserve">→  Own Funds</t>
  </si>
  <si>
    <t xml:space="preserve">Balance sheet, Solvency II own funds by tier</t>
  </si>
  <si>
    <t xml:space="preserve">→  Health UW Risk</t>
  </si>
  <si>
    <t xml:space="preserve">Health underwriting risk – SLT &amp; Non-SLT sub-modules</t>
  </si>
  <si>
    <t xml:space="preserve">→  Market Risk</t>
  </si>
  <si>
    <t xml:space="preserve">Market risk SCR – interest rate, equity, spread, FX, concentration</t>
  </si>
  <si>
    <t xml:space="preserve">→  Credit Risk</t>
  </si>
  <si>
    <t xml:space="preserve">Counterparty default risk (Type 1 &amp; Type 2)</t>
  </si>
  <si>
    <t xml:space="preserve">→  Op Risk</t>
  </si>
  <si>
    <t xml:space="preserve">Operational risk capital charge</t>
  </si>
  <si>
    <t xml:space="preserve">→  SCR Summary</t>
  </si>
  <si>
    <t xml:space="preserve">Aggregated SCR using correlation matrices</t>
  </si>
  <si>
    <t xml:space="preserve">→  ORSA Summary</t>
  </si>
  <si>
    <t xml:space="preserve">Own Risk &amp; Solvency Assessment narrative dashboard</t>
  </si>
  <si>
    <t xml:space="preserve">KEY MODEL ASSUMPTIONS</t>
  </si>
  <si>
    <t xml:space="preserve">A. HEALTH UNDERWRITING ASSUMPTIONS</t>
  </si>
  <si>
    <t xml:space="preserve">Parameter</t>
  </si>
  <si>
    <t xml:space="preserve">Value</t>
  </si>
  <si>
    <t xml:space="preserve">Unit</t>
  </si>
  <si>
    <t xml:space="preserve">Min</t>
  </si>
  <si>
    <t xml:space="preserve">Max</t>
  </si>
  <si>
    <t xml:space="preserve">Source / Notes</t>
  </si>
  <si>
    <t xml:space="preserve">Gross Written Premium (€000s)</t>
  </si>
  <si>
    <t xml:space="preserve">€000s</t>
  </si>
  <si>
    <t xml:space="preserve">Business plan</t>
  </si>
  <si>
    <t xml:space="preserve">Claims Ratio – Medical Expense</t>
  </si>
  <si>
    <t xml:space="preserve">%</t>
  </si>
  <si>
    <t xml:space="preserve">5yr avg internal data</t>
  </si>
  <si>
    <t xml:space="preserve">Claims Ratio – Income Protection</t>
  </si>
  <si>
    <t xml:space="preserve">Claims Ratio – Long-Term Care</t>
  </si>
  <si>
    <t xml:space="preserve">Actuarial best estimate</t>
  </si>
  <si>
    <t xml:space="preserve">Expense Ratio</t>
  </si>
  <si>
    <t xml:space="preserve">Finance dept</t>
  </si>
  <si>
    <t xml:space="preserve">Lapse Rate – Medical Expense</t>
  </si>
  <si>
    <t xml:space="preserve">Experience study 2023</t>
  </si>
  <si>
    <t xml:space="preserve">Lapse Rate – Income Protection</t>
  </si>
  <si>
    <t xml:space="preserve">Premium Growth Rate</t>
  </si>
  <si>
    <t xml:space="preserve">Reinsurance Premium Ceded (%)</t>
  </si>
  <si>
    <t xml:space="preserve">RI treaty</t>
  </si>
  <si>
    <t xml:space="preserve">Reinsurance Claims Recovered (%)</t>
  </si>
  <si>
    <t xml:space="preserve">B. MARKET RISK ASSUMPTIONS</t>
  </si>
  <si>
    <t xml:space="preserve">Investment Portfolio – Total (€000s)</t>
  </si>
  <si>
    <t xml:space="preserve">Investment dept</t>
  </si>
  <si>
    <t xml:space="preserve">  Government Bonds (%)</t>
  </si>
  <si>
    <t xml:space="preserve">  Corporate Bonds (%)</t>
  </si>
  <si>
    <t xml:space="preserve">  Equities (%)</t>
  </si>
  <si>
    <t xml:space="preserve">  Property (%)</t>
  </si>
  <si>
    <t xml:space="preserve">  Cash &amp; Other (%)</t>
  </si>
  <si>
    <t xml:space="preserve">Duration of Bond Portfolio (years)</t>
  </si>
  <si>
    <t xml:space="preserve">years</t>
  </si>
  <si>
    <t xml:space="preserve">Average Credit Quality (Moody's equiv)</t>
  </si>
  <si>
    <t xml:space="preserve">A2</t>
  </si>
  <si>
    <t xml:space="preserve">–</t>
  </si>
  <si>
    <t xml:space="preserve">Rating agency</t>
  </si>
  <si>
    <t xml:space="preserve">Interest Rate Up Shock (%)</t>
  </si>
  <si>
    <t xml:space="preserve">bps</t>
  </si>
  <si>
    <t xml:space="preserve">EIOPA standard</t>
  </si>
  <si>
    <t xml:space="preserve">Interest Rate Down Shock (%)</t>
  </si>
  <si>
    <t xml:space="preserve">Equity Stress Type 1 (%)</t>
  </si>
  <si>
    <t xml:space="preserve">EIOPA Art.169</t>
  </si>
  <si>
    <t xml:space="preserve">Equity Stress Type 2 (%)</t>
  </si>
  <si>
    <t xml:space="preserve">Property Stress (%)</t>
  </si>
  <si>
    <t xml:space="preserve">EIOPA Art.174</t>
  </si>
  <si>
    <t xml:space="preserve">C. OPERATIONAL RISK ASSUMPTIONS</t>
  </si>
  <si>
    <t xml:space="preserve">Op Risk Factor – Technical Provisions</t>
  </si>
  <si>
    <t xml:space="preserve">EIOPA Delegated Reg.</t>
  </si>
  <si>
    <t xml:space="preserve">Op Risk Factor – Premiums</t>
  </si>
  <si>
    <t xml:space="preserve">Expense Op Risk Cap (%)</t>
  </si>
  <si>
    <t xml:space="preserve">Internal policy</t>
  </si>
  <si>
    <t xml:space="preserve">UNDERWRITING ACCOUNT – HEALTH &amp; CARE INSURANCE</t>
  </si>
  <si>
    <t xml:space="preserve">PREMIUM INCOME (€000s)</t>
  </si>
  <si>
    <t xml:space="preserve">Item</t>
  </si>
  <si>
    <t xml:space="preserve">Medical Expense</t>
  </si>
  <si>
    <t xml:space="preserve">Income Protection</t>
  </si>
  <si>
    <t xml:space="preserve">Long-Term Care</t>
  </si>
  <si>
    <t xml:space="preserve">Group Health</t>
  </si>
  <si>
    <t xml:space="preserve">Total</t>
  </si>
  <si>
    <t xml:space="preserve">Notes</t>
  </si>
  <si>
    <t xml:space="preserve">Gross Written Premium</t>
  </si>
  <si>
    <t xml:space="preserve">Source: Business Plan 2024</t>
  </si>
  <si>
    <t xml:space="preserve">  Reinsurance Premium Ceded</t>
  </si>
  <si>
    <t xml:space="preserve">Net Written Premium</t>
  </si>
  <si>
    <t xml:space="preserve">Change in Unearned Premium Reserve</t>
  </si>
  <si>
    <t xml:space="preserve">Net Earned Premium</t>
  </si>
  <si>
    <t xml:space="preserve">CLAIMS INCURRED (€000s)</t>
  </si>
  <si>
    <t xml:space="preserve">Gross Claims Incurred</t>
  </si>
  <si>
    <t xml:space="preserve">  Reinsurance Claims Recovered</t>
  </si>
  <si>
    <t xml:space="preserve">Net Claims Incurred</t>
  </si>
  <si>
    <t xml:space="preserve">EXPENSES (€000s)</t>
  </si>
  <si>
    <t xml:space="preserve">Acquisition Expenses</t>
  </si>
  <si>
    <t xml:space="preserve">Administration Expenses</t>
  </si>
  <si>
    <t xml:space="preserve">Total Expenses</t>
  </si>
  <si>
    <t xml:space="preserve">TECHNICAL RESULT (€000s)</t>
  </si>
  <si>
    <t xml:space="preserve">Technical Result (Net)</t>
  </si>
  <si>
    <t xml:space="preserve">KEY RATIOS</t>
  </si>
  <si>
    <t xml:space="preserve">Ratio</t>
  </si>
  <si>
    <t xml:space="preserve">Gross Claims Ratio</t>
  </si>
  <si>
    <t xml:space="preserve">Net Claims Ratio</t>
  </si>
  <si>
    <t xml:space="preserve">Reinsurance Ratio</t>
  </si>
  <si>
    <t xml:space="preserve">Combined Ratio (Total)</t>
  </si>
  <si>
    <t xml:space="preserve">OWN FUNDS – SOLVENCY II BALANCE SHEET (€000s)</t>
  </si>
  <si>
    <t xml:space="preserve">IFRS BV (€000s)</t>
  </si>
  <si>
    <t xml:space="preserve">SII Adj (€000s)</t>
  </si>
  <si>
    <t xml:space="preserve">SII Value (€000s)</t>
  </si>
  <si>
    <t xml:space="preserve">ASSETS</t>
  </si>
  <si>
    <t xml:space="preserve">  Investments – Government Bonds</t>
  </si>
  <si>
    <t xml:space="preserve">  Investments – Corporate Bonds</t>
  </si>
  <si>
    <t xml:space="preserve">  Investments – Equities</t>
  </si>
  <si>
    <t xml:space="preserve">  Investments – Property</t>
  </si>
  <si>
    <t xml:space="preserve">  Investments – Cash &amp; Other</t>
  </si>
  <si>
    <t xml:space="preserve">  Reinsurance Recoverables</t>
  </si>
  <si>
    <t xml:space="preserve">  Deferred Tax Asset</t>
  </si>
  <si>
    <t xml:space="preserve">  Receivables &amp; Other Assets</t>
  </si>
  <si>
    <t xml:space="preserve">TOTAL ASSETS</t>
  </si>
  <si>
    <t xml:space="preserve">LIABILITIES</t>
  </si>
  <si>
    <t xml:space="preserve">  Best Estimate Liabilities – Medical Expense</t>
  </si>
  <si>
    <t xml:space="preserve">  Best Estimate Liabilities – Income Protection</t>
  </si>
  <si>
    <t xml:space="preserve">  Best Estimate Liabilities – Long-Term Care</t>
  </si>
  <si>
    <t xml:space="preserve">  Risk Margin</t>
  </si>
  <si>
    <t xml:space="preserve">  Technical Provisions – Total</t>
  </si>
  <si>
    <t xml:space="preserve">  Financial Liabilities</t>
  </si>
  <si>
    <t xml:space="preserve">  Payables &amp; Other Liabilities</t>
  </si>
  <si>
    <t xml:space="preserve">  Deferred Tax Liability</t>
  </si>
  <si>
    <t xml:space="preserve">TOTAL LIABILITIES</t>
  </si>
  <si>
    <t xml:space="preserve">EXCESS OF ASSETS OVER LIABILITIES (OWN FUNDS)</t>
  </si>
  <si>
    <t xml:space="preserve">Excess of Assets over Liabilities</t>
  </si>
  <si>
    <t xml:space="preserve">OWN FUNDS BY TIER</t>
  </si>
  <si>
    <t xml:space="preserve">Tier</t>
  </si>
  <si>
    <t xml:space="preserve">Description</t>
  </si>
  <si>
    <t xml:space="preserve">Amount (€000s)</t>
  </si>
  <si>
    <t xml:space="preserve">% of Total</t>
  </si>
  <si>
    <t xml:space="preserve">Eligible for SCR</t>
  </si>
  <si>
    <t xml:space="preserve">Tier 1 Unrestricted</t>
  </si>
  <si>
    <t xml:space="preserve">Ordinary share capital + reserves</t>
  </si>
  <si>
    <t xml:space="preserve">100%</t>
  </si>
  <si>
    <t xml:space="preserve">Tier 1 Restricted</t>
  </si>
  <si>
    <t xml:space="preserve">Subordinated liabilities (perpetual)</t>
  </si>
  <si>
    <t xml:space="preserve">20% cap</t>
  </si>
  <si>
    <t xml:space="preserve">Tier 2</t>
  </si>
  <si>
    <t xml:space="preserve">Subordinated liabilities (dated)</t>
  </si>
  <si>
    <t xml:space="preserve">50% cap</t>
  </si>
  <si>
    <t xml:space="preserve">Tier 3</t>
  </si>
  <si>
    <t xml:space="preserve">Deferred tax &amp; other</t>
  </si>
  <si>
    <t xml:space="preserve">15% cap</t>
  </si>
  <si>
    <t xml:space="preserve">TOTAL OWN FUNDS (€000s)</t>
  </si>
  <si>
    <t xml:space="preserve">HEALTH UNDERWRITING RISK SCR (€000s)</t>
  </si>
  <si>
    <t xml:space="preserve">A. SLT (SIMILAR TO LIFE TECHNIQUES) – INCOME PROTECTION &amp; LTC</t>
  </si>
  <si>
    <t xml:space="preserve">Sub-Module</t>
  </si>
  <si>
    <t xml:space="preserve">Stress</t>
  </si>
  <si>
    <t xml:space="preserve">Best Estimate (€000s)</t>
  </si>
  <si>
    <t xml:space="preserve">SCR (€000s)</t>
  </si>
  <si>
    <t xml:space="preserve">Reference</t>
  </si>
  <si>
    <t xml:space="preserve">  Mortality Risk</t>
  </si>
  <si>
    <t xml:space="preserve">15% increase in mortality rates</t>
  </si>
  <si>
    <t xml:space="preserve">TP shock</t>
  </si>
  <si>
    <t xml:space="preserve">Art. 137 SII DR</t>
  </si>
  <si>
    <t xml:space="preserve">  Longevity Risk</t>
  </si>
  <si>
    <t xml:space="preserve">20% decrease in mortality rates</t>
  </si>
  <si>
    <t xml:space="preserve">Art. 138 SII DR</t>
  </si>
  <si>
    <t xml:space="preserve">  Disability-Morbidity</t>
  </si>
  <si>
    <t xml:space="preserve">35% increase in incidence Year 1</t>
  </si>
  <si>
    <t xml:space="preserve">IP &amp; LTC</t>
  </si>
  <si>
    <t xml:space="preserve">Art. 139 SII DR</t>
  </si>
  <si>
    <t xml:space="preserve">  Lapse Risk</t>
  </si>
  <si>
    <t xml:space="preserve">50% permanent lapse shock</t>
  </si>
  <si>
    <t xml:space="preserve">IP book</t>
  </si>
  <si>
    <t xml:space="preserve">Art. 142 SII DR</t>
  </si>
  <si>
    <t xml:space="preserve">  Expense Risk SLT</t>
  </si>
  <si>
    <t xml:space="preserve">10% expense + 1% inflation pa</t>
  </si>
  <si>
    <t xml:space="preserve">Admin exp</t>
  </si>
  <si>
    <t xml:space="preserve">Art. 141 SII DR</t>
  </si>
  <si>
    <t xml:space="preserve">  Revision Risk</t>
  </si>
  <si>
    <t xml:space="preserve">3% increase in annuity amounts</t>
  </si>
  <si>
    <t xml:space="preserve">Annuities</t>
  </si>
  <si>
    <t xml:space="preserve">Art. 143 SII DR</t>
  </si>
  <si>
    <t xml:space="preserve">SLT Correlation Matrix (EIOPA prescribed)</t>
  </si>
  <si>
    <t xml:space="preserve">Mort</t>
  </si>
  <si>
    <t xml:space="preserve">Long</t>
  </si>
  <si>
    <t xml:space="preserve">Dis</t>
  </si>
  <si>
    <t xml:space="preserve">Lapse</t>
  </si>
  <si>
    <t xml:space="preserve">Exp</t>
  </si>
  <si>
    <t xml:space="preserve">Rev</t>
  </si>
  <si>
    <t xml:space="preserve">SLT Health UW SCR (aggregated)</t>
  </si>
  <si>
    <t xml:space="preserve">B. NON-SLT (SIMILAR TO NON-LIFE TECHNIQUES) – MEDICAL EXPENSE &amp; GROUP</t>
  </si>
  <si>
    <t xml:space="preserve">Exposure (€000s)</t>
  </si>
  <si>
    <t xml:space="preserve">  Premium &amp; Reserve Risk</t>
  </si>
  <si>
    <t xml:space="preserve">Combined NP formula</t>
  </si>
  <si>
    <t xml:space="preserve">Med Exp</t>
  </si>
  <si>
    <t xml:space="preserve">Art. 148 SII DR</t>
  </si>
  <si>
    <t xml:space="preserve">  Lapse Risk Non-SLT</t>
  </si>
  <si>
    <t xml:space="preserve">40% lapse shock</t>
  </si>
  <si>
    <t xml:space="preserve">Group</t>
  </si>
  <si>
    <t xml:space="preserve">Art. 159 SII DR</t>
  </si>
  <si>
    <t xml:space="preserve">  CAT Risk – Pandemic</t>
  </si>
  <si>
    <t xml:space="preserve">1-in-200 pandemic scenario</t>
  </si>
  <si>
    <t xml:space="preserve">All LoB</t>
  </si>
  <si>
    <t xml:space="preserve">Art. 160 SII DR</t>
  </si>
  <si>
    <t xml:space="preserve">  CAT Risk – Mass Accident</t>
  </si>
  <si>
    <t xml:space="preserve">Accident concentration</t>
  </si>
  <si>
    <t xml:space="preserve">Non-SLT Health UW SCR (aggregated)</t>
  </si>
  <si>
    <t xml:space="preserve">TOTAL HEALTH UW RISK SCR (€000s)</t>
  </si>
  <si>
    <t xml:space="preserve">MARKET RISK SCR (€000s)</t>
  </si>
  <si>
    <t xml:space="preserve">MARKET RISK SUB-MODULES</t>
  </si>
  <si>
    <t xml:space="preserve">  Interest Rate Risk (Up)</t>
  </si>
  <si>
    <t xml:space="preserve">+130bps parallel shift</t>
  </si>
  <si>
    <t xml:space="preserve">Bond port</t>
  </si>
  <si>
    <t xml:space="preserve">Art.165 SII DR</t>
  </si>
  <si>
    <t xml:space="preserve">  Interest Rate Risk (Down)</t>
  </si>
  <si>
    <t xml:space="preserve">-90bps parallel shift</t>
  </si>
  <si>
    <t xml:space="preserve">  Equity Risk – Type 1</t>
  </si>
  <si>
    <t xml:space="preserve">39% stress</t>
  </si>
  <si>
    <t xml:space="preserve">Listed eq</t>
  </si>
  <si>
    <t xml:space="preserve">Art.169 SII DR</t>
  </si>
  <si>
    <t xml:space="preserve">  Equity Risk – Type 2</t>
  </si>
  <si>
    <t xml:space="preserve">49% stress</t>
  </si>
  <si>
    <t xml:space="preserve">PE/infra</t>
  </si>
  <si>
    <t xml:space="preserve">  Property Risk</t>
  </si>
  <si>
    <t xml:space="preserve">25% stress</t>
  </si>
  <si>
    <t xml:space="preserve">Property</t>
  </si>
  <si>
    <t xml:space="preserve">Art.174 SII DR</t>
  </si>
  <si>
    <t xml:space="preserve">  Spread Risk – Bonds</t>
  </si>
  <si>
    <t xml:space="preserve">Duration-based stress</t>
  </si>
  <si>
    <t xml:space="preserve">Corp bds</t>
  </si>
  <si>
    <t xml:space="preserve">Art.176 SII DR</t>
  </si>
  <si>
    <t xml:space="preserve">  Currency Risk</t>
  </si>
  <si>
    <t xml:space="preserve">FX exposure</t>
  </si>
  <si>
    <t xml:space="preserve">Art.178 SII DR</t>
  </si>
  <si>
    <t xml:space="preserve">  Concentration Risk</t>
  </si>
  <si>
    <t xml:space="preserve">Asset concentration adj.</t>
  </si>
  <si>
    <t xml:space="preserve">Top 5 issuers</t>
  </si>
  <si>
    <t xml:space="preserve">Art.182 SII DR</t>
  </si>
  <si>
    <t xml:space="preserve">  Illiquidity Premium Risk</t>
  </si>
  <si>
    <t xml:space="preserve">65% illiq prem reduction</t>
  </si>
  <si>
    <t xml:space="preserve">Ann liabs</t>
  </si>
  <si>
    <t xml:space="preserve">Art.167 SII DR</t>
  </si>
  <si>
    <t xml:space="preserve">Interest Rate SCR (max up/down)</t>
  </si>
  <si>
    <t xml:space="preserve">Market Risk Correlation Matrix (EIOPA Art.164)</t>
  </si>
  <si>
    <t xml:space="preserve">Int Rate</t>
  </si>
  <si>
    <t xml:space="preserve">Equity</t>
  </si>
  <si>
    <t xml:space="preserve">Spread</t>
  </si>
  <si>
    <t xml:space="preserve">Currency</t>
  </si>
  <si>
    <t xml:space="preserve">Conc</t>
  </si>
  <si>
    <t xml:space="preserve">TOTAL MARKET RISK SCR (€000s)</t>
  </si>
  <si>
    <t xml:space="preserve">COUNTERPARTY DEFAULT RISK SCR (€000s)</t>
  </si>
  <si>
    <t xml:space="preserve">TYPE 1 EXPOSURES – Reinsurance, Derivatives, Deposits</t>
  </si>
  <si>
    <t xml:space="preserve">Counterparty</t>
  </si>
  <si>
    <t xml:space="preserve">Rating</t>
  </si>
  <si>
    <t xml:space="preserve">LGD (€000s)</t>
  </si>
  <si>
    <t xml:space="preserve">PD (%)</t>
  </si>
  <si>
    <t xml:space="preserve">Munich Re</t>
  </si>
  <si>
    <t xml:space="preserve">AA</t>
  </si>
  <si>
    <t xml:space="preserve">Swiss Re</t>
  </si>
  <si>
    <t xml:space="preserve">Hannover Re</t>
  </si>
  <si>
    <t xml:space="preserve">A+</t>
  </si>
  <si>
    <t xml:space="preserve">SCOR SE</t>
  </si>
  <si>
    <t xml:space="preserve">A</t>
  </si>
  <si>
    <t xml:space="preserve">Barclays Bank</t>
  </si>
  <si>
    <t xml:space="preserve">Type 1 SCR (before diversification)</t>
  </si>
  <si>
    <t xml:space="preserve">TYPE 2 EXPOSURES – Receivables, Intermediaries</t>
  </si>
  <si>
    <t xml:space="preserve">Category</t>
  </si>
  <si>
    <t xml:space="preserve">Overdue (days)</t>
  </si>
  <si>
    <t xml:space="preserve">Stress Factor</t>
  </si>
  <si>
    <t xml:space="preserve">Premium receivables &lt;3m</t>
  </si>
  <si>
    <t xml:space="preserve">&lt;90</t>
  </si>
  <si>
    <t xml:space="preserve">Standard</t>
  </si>
  <si>
    <t xml:space="preserve">Premium receivables 3-6m</t>
  </si>
  <si>
    <t xml:space="preserve">90-180</t>
  </si>
  <si>
    <t xml:space="preserve">Near default</t>
  </si>
  <si>
    <t xml:space="preserve">Intermediary receivables</t>
  </si>
  <si>
    <t xml:space="preserve">Misc</t>
  </si>
  <si>
    <t xml:space="preserve">Other receivables</t>
  </si>
  <si>
    <t xml:space="preserve">Type 2 SCR</t>
  </si>
  <si>
    <t xml:space="preserve">TOTAL COUNTERPARTY DEFAULT RISK SCR (€000s)</t>
  </si>
  <si>
    <t xml:space="preserve">OPERATIONAL RISK SCR (€000s)</t>
  </si>
  <si>
    <t xml:space="preserve">OPERATIONAL RISK CAPITAL CHARGE (EIOPA Art.204)</t>
  </si>
  <si>
    <t xml:space="preserve">Component</t>
  </si>
  <si>
    <t xml:space="preserve">Input / Formula</t>
  </si>
  <si>
    <t xml:space="preserve">Value (€000s)</t>
  </si>
  <si>
    <t xml:space="preserve">Gross Technical Provisions (Life-like)</t>
  </si>
  <si>
    <t xml:space="preserve">Gross Technical Provisions (Non-life)</t>
  </si>
  <si>
    <t xml:space="preserve">Gross Written Premiums – prior year</t>
  </si>
  <si>
    <t xml:space="preserve">Business Plan</t>
  </si>
  <si>
    <t xml:space="preserve">Gross Written Premiums – current year</t>
  </si>
  <si>
    <t xml:space="preserve">Op Risk on TPs (Life)</t>
  </si>
  <si>
    <t xml:space="preserve">TP * 0.45%</t>
  </si>
  <si>
    <t xml:space="preserve">Art.204(1)(a)</t>
  </si>
  <si>
    <t xml:space="preserve">Op Risk on TPs (Non-Life)</t>
  </si>
  <si>
    <t xml:space="preserve">Op Risk on Premiums</t>
  </si>
  <si>
    <t xml:space="preserve">max(GWP_t,GWP_{t-1}) * 3%</t>
  </si>
  <si>
    <t xml:space="preserve">Art.204(1)(b)</t>
  </si>
  <si>
    <t xml:space="preserve">Basic Op Risk (before cap)</t>
  </si>
  <si>
    <t xml:space="preserve">sum of above</t>
  </si>
  <si>
    <t xml:space="preserve">Art.204(4)</t>
  </si>
  <si>
    <t xml:space="preserve">30% of BSCR (cap check)</t>
  </si>
  <si>
    <t xml:space="preserve">30% * BSCR</t>
  </si>
  <si>
    <t xml:space="preserve">OPERATIONAL RISK SCR</t>
  </si>
  <si>
    <t xml:space="preserve">min(Basic, Cap)</t>
  </si>
  <si>
    <t xml:space="preserve">Art.204</t>
  </si>
  <si>
    <t xml:space="preserve">OPERATIONAL RISK HEAT MAP (Qualitative)</t>
  </si>
  <si>
    <t xml:space="preserve">Risk Category</t>
  </si>
  <si>
    <t xml:space="preserve">Residual Risk Level</t>
  </si>
  <si>
    <t xml:space="preserve">Key Controls</t>
  </si>
  <si>
    <t xml:space="preserve">Fraud &amp; Unauthorised Activities</t>
  </si>
  <si>
    <t xml:space="preserve">High</t>
  </si>
  <si>
    <t xml:space="preserve">Segregation of duties, IT access controls</t>
  </si>
  <si>
    <t xml:space="preserve">Business Disruption &amp; System Failure</t>
  </si>
  <si>
    <t xml:space="preserve">Medium</t>
  </si>
  <si>
    <t xml:space="preserve">BCP/DR programme</t>
  </si>
  <si>
    <t xml:space="preserve">Compliance &amp; Legal Risk</t>
  </si>
  <si>
    <t xml:space="preserve">Legal review, compliance monitoring</t>
  </si>
  <si>
    <t xml:space="preserve">Outsourcing Risk</t>
  </si>
  <si>
    <t xml:space="preserve">Low</t>
  </si>
  <si>
    <t xml:space="preserve">Vendor management policy</t>
  </si>
  <si>
    <t xml:space="preserve">People &amp; HR Risk</t>
  </si>
  <si>
    <t xml:space="preserve">HR policies, key-man insurance</t>
  </si>
  <si>
    <t xml:space="preserve">Claims Fraud</t>
  </si>
  <si>
    <t xml:space="preserve">Anti-fraud analytics, SIU</t>
  </si>
  <si>
    <t xml:space="preserve">Data Privacy / GDPR</t>
  </si>
  <si>
    <t xml:space="preserve">Data governance framework</t>
  </si>
  <si>
    <t xml:space="preserve">Cyber Risk</t>
  </si>
  <si>
    <t xml:space="preserve">Cyber insurance, pen testing</t>
  </si>
  <si>
    <t xml:space="preserve">SOLVENCY CAPITAL REQUIREMENT – SUMMARY (€000s)</t>
  </si>
  <si>
    <t xml:space="preserve">Risk Module</t>
  </si>
  <si>
    <t xml:space="preserve">Sub-SCR (€000s)</t>
  </si>
  <si>
    <t xml:space="preserve">% of BSCR</t>
  </si>
  <si>
    <t xml:space="preserve">COMPONENT SCRs</t>
  </si>
  <si>
    <t xml:space="preserve">  Health Underwriting Risk</t>
  </si>
  <si>
    <t xml:space="preserve">  Market Risk</t>
  </si>
  <si>
    <t xml:space="preserve">  Counterparty Default Risk</t>
  </si>
  <si>
    <t xml:space="preserve">BSCR CORRELATION MATRIX (EIOPA Art.304)</t>
  </si>
  <si>
    <t xml:space="preserve">Health UW</t>
  </si>
  <si>
    <t xml:space="preserve">Market</t>
  </si>
  <si>
    <t xml:space="preserve">Credit</t>
  </si>
  <si>
    <t xml:space="preserve">SCR CALCULATION</t>
  </si>
  <si>
    <t xml:space="preserve">Diversified BSCR (correlation formula)</t>
  </si>
  <si>
    <t xml:space="preserve">Adjustment for Loss Absorbing Capacity of TPs</t>
  </si>
  <si>
    <t xml:space="preserve">Adjustment for Loss Absorbing Capacity of DT</t>
  </si>
  <si>
    <t xml:space="preserve">BSCR (after adjustments)</t>
  </si>
  <si>
    <t xml:space="preserve">Operational Risk SCR</t>
  </si>
  <si>
    <t xml:space="preserve">FINAL SCR &amp; MCR</t>
  </si>
  <si>
    <t xml:space="preserve">  BSCR (after adjustments)</t>
  </si>
  <si>
    <t xml:space="preserve">  Operational Risk</t>
  </si>
  <si>
    <t xml:space="preserve">Solvency Capital Requirement (SCR)</t>
  </si>
  <si>
    <t xml:space="preserve">SCR Total</t>
  </si>
  <si>
    <t xml:space="preserve">MINIMUM CAPITAL REQUIREMENT (MCR)</t>
  </si>
  <si>
    <t xml:space="preserve">Linear MCR</t>
  </si>
  <si>
    <t xml:space="preserve">MCR Floor (25% of SCR)</t>
  </si>
  <si>
    <t xml:space="preserve">MCR Cap (45% of SCR)</t>
  </si>
  <si>
    <t xml:space="preserve">MCR (constrained)</t>
  </si>
  <si>
    <t xml:space="preserve">COVERAGE RATIOS</t>
  </si>
  <si>
    <t xml:space="preserve">Eligible Own Funds for SCR</t>
  </si>
  <si>
    <t xml:space="preserve">Eligible Own Funds for MCR</t>
  </si>
  <si>
    <t xml:space="preserve">MCR Coverage Ratio</t>
  </si>
  <si>
    <t xml:space="preserve">OWN RISK &amp; SOLVENCY ASSESSMENT (ORSA) – SUMMARY DASHBOARD</t>
  </si>
  <si>
    <t xml:space="preserve">STRESS TEST &amp; SCENARIO ANALYSIS</t>
  </si>
  <si>
    <t xml:space="preserve">Scenario</t>
  </si>
  <si>
    <t xml:space="preserve">SCR Impact (€000s)</t>
  </si>
  <si>
    <t xml:space="preserve">Own Funds Impact</t>
  </si>
  <si>
    <t xml:space="preserve">Coverage Ratio</t>
  </si>
  <si>
    <t xml:space="preserve">RAG Status</t>
  </si>
  <si>
    <t xml:space="preserve">Base Case (Current)</t>
  </si>
  <si>
    <t xml:space="preserve">Green</t>
  </si>
  <si>
    <t xml:space="preserve">Pandemic Stress (1-in-200)</t>
  </si>
  <si>
    <t xml:space="preserve">Amber</t>
  </si>
  <si>
    <t xml:space="preserve">Market Crash (equity -40%)</t>
  </si>
  <si>
    <t xml:space="preserve">Interest Rate Spike (+300bps)</t>
  </si>
  <si>
    <t xml:space="preserve">Catastrophic Lapse (+50%)</t>
  </si>
  <si>
    <t xml:space="preserve">Combined Stress</t>
  </si>
  <si>
    <t xml:space="preserve">Red</t>
  </si>
  <si>
    <t xml:space="preserve">Reverse Stress Test (threshold)</t>
  </si>
  <si>
    <t xml:space="preserve">N/A</t>
  </si>
  <si>
    <t xml:space="preserve">150%</t>
  </si>
  <si>
    <t xml:space="preserve">Monitor</t>
  </si>
  <si>
    <t xml:space="preserve">CAPITAL MANAGEMENT ACTIONS &amp; TRIGGERS</t>
  </si>
  <si>
    <t xml:space="preserve">Action / Trigger</t>
  </si>
  <si>
    <t xml:space="preserve">Coverage Threshold</t>
  </si>
  <si>
    <t xml:space="preserve">Current Status</t>
  </si>
  <si>
    <t xml:space="preserve">Trigger Met?</t>
  </si>
  <si>
    <t xml:space="preserve">Action Owner</t>
  </si>
  <si>
    <t xml:space="preserve">Management Warning Level</t>
  </si>
  <si>
    <t xml:space="preserve">160%</t>
  </si>
  <si>
    <t xml:space="preserve">CFO</t>
  </si>
  <si>
    <t xml:space="preserve">Board Reporting Escalation</t>
  </si>
  <si>
    <t xml:space="preserve">Board</t>
  </si>
  <si>
    <t xml:space="preserve">Capital Raising Consideration</t>
  </si>
  <si>
    <t xml:space="preserve">140%</t>
  </si>
  <si>
    <t xml:space="preserve">CEO / Board</t>
  </si>
  <si>
    <t xml:space="preserve">Regulatory Notification</t>
  </si>
  <si>
    <t xml:space="preserve">130%</t>
  </si>
  <si>
    <t xml:space="preserve">CRO → Regulator</t>
  </si>
  <si>
    <t xml:space="preserve">Recovery Plan Activation</t>
  </si>
  <si>
    <t xml:space="preserve">110%</t>
  </si>
  <si>
    <t xml:space="preserve">CEO</t>
  </si>
  <si>
    <t xml:space="preserve">ORSA PROCESS CHECKLIST (Art. 45 Solvency II Directive)</t>
  </si>
  <si>
    <t xml:space="preserve">ORSA Component</t>
  </si>
  <si>
    <t xml:space="preserve">Status</t>
  </si>
  <si>
    <t xml:space="preserve">Frequency</t>
  </si>
  <si>
    <t xml:space="preserve">Owner</t>
  </si>
  <si>
    <t xml:space="preserve">Overall Solvency Needs assessment</t>
  </si>
  <si>
    <t xml:space="preserve">Complete</t>
  </si>
  <si>
    <t xml:space="preserve">Annual</t>
  </si>
  <si>
    <t xml:space="preserve">CRO</t>
  </si>
  <si>
    <t xml:space="preserve">Compliance with SCR / MCR assessment</t>
  </si>
  <si>
    <t xml:space="preserve">Quarterly</t>
  </si>
  <si>
    <t xml:space="preserve">Significance of deviation from standard formula</t>
  </si>
  <si>
    <t xml:space="preserve">Actuarial Fn</t>
  </si>
  <si>
    <t xml:space="preserve">Forward-looking assessment (3yr projection)</t>
  </si>
  <si>
    <t xml:space="preserve">Finance</t>
  </si>
  <si>
    <t xml:space="preserve">Stress &amp; scenario testing</t>
  </si>
  <si>
    <t xml:space="preserve">Semi-ann</t>
  </si>
  <si>
    <t xml:space="preserve">Risk Fn</t>
  </si>
  <si>
    <t xml:space="preserve">Board approval of ORSA report</t>
  </si>
  <si>
    <t xml:space="preserve">Pending</t>
  </si>
  <si>
    <t xml:space="preserve">Regulatory submission of ORSA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</si>
</sst>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#,##0"/>
    <numFmt numFmtId="167" formatCode="#,##0;\(#,##0\);\-"/>
    <numFmt numFmtId="168" formatCode="0.0%;\(0.0%\);\-"/>
    <numFmt numFmtId="169" formatCode="0.00"/>
    <numFmt numFmtId="170" formatCode="0.00%;\(0.00%\);\-"/>
    <numFmt numFmtId="171" formatCode="#,##0;\(#,##0\);\-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2E75B6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8"/>
      <color rgb="FFCCCCCC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00703C"/>
      <name val="Arial"/>
      <family val="0"/>
      <charset val="1"/>
    </font>
    <font>
      <b val="true"/>
      <sz val="9"/>
      <color rgb="FFFF8C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595959"/>
        <bgColor rgb="FF375623"/>
      </patternFill>
    </fill>
    <fill>
      <patternFill patternType="solid">
        <fgColor rgb="FF00703C"/>
        <bgColor rgb="FF008000"/>
      </patternFill>
    </fill>
    <fill>
      <patternFill patternType="solid">
        <fgColor rgb="FF2E75B6"/>
        <bgColor rgb="FF0066CC"/>
      </patternFill>
    </fill>
    <fill>
      <patternFill patternType="solid">
        <fgColor rgb="FFFF8C00"/>
        <bgColor rgb="FFFF6600"/>
      </patternFill>
    </fill>
    <fill>
      <patternFill patternType="solid">
        <fgColor rgb="FFEBF3FB"/>
        <bgColor rgb="FFF2F2F2"/>
      </patternFill>
    </fill>
    <fill>
      <patternFill patternType="solid">
        <fgColor rgb="FFD6E4F0"/>
        <bgColor rgb="FFD9EAD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EAD3"/>
        <bgColor rgb="FFD6E4F0"/>
      </patternFill>
    </fill>
    <fill>
      <patternFill patternType="solid">
        <fgColor rgb="FFF2F2F2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703C"/>
      <rgbColor rgb="FFBFBFBF"/>
      <rgbColor rgb="FF808080"/>
      <rgbColor rgb="FF9999FF"/>
      <rgbColor rgb="FF7030A0"/>
      <rgbColor rgb="FFFFF2CC"/>
      <rgbColor rgb="FFEBF3FB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9EAD3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8C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12" min="2" style="1" width="14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8" hidden="false" customHeight="true" outlineLevel="0" collapsed="false"/>
    <row r="4" customFormat="false" ht="15" hidden="false" customHeight="true" outlineLevel="0" collapsed="false">
      <c r="A4" s="4" t="s">
        <v>2</v>
      </c>
      <c r="B4" s="4"/>
      <c r="C4" s="5" t="s">
        <v>3</v>
      </c>
      <c r="D4" s="5"/>
      <c r="E4" s="5" t="s">
        <v>4</v>
      </c>
      <c r="F4" s="5"/>
      <c r="G4" s="6" t="s">
        <v>5</v>
      </c>
      <c r="H4" s="6"/>
      <c r="I4" s="4" t="s">
        <v>6</v>
      </c>
      <c r="J4" s="4"/>
      <c r="K4" s="6" t="s">
        <v>7</v>
      </c>
      <c r="L4" s="6"/>
    </row>
    <row r="5" customFormat="false" ht="31.5" hidden="false" customHeight="true" outlineLevel="0" collapsed="false">
      <c r="A5" s="7" t="n">
        <f aca="false">'SCR Summary'!C50</f>
        <v>0.190976492703109</v>
      </c>
      <c r="B5" s="7"/>
      <c r="C5" s="8" t="n">
        <f aca="false">'Own Funds'!C35</f>
        <v>26000</v>
      </c>
      <c r="D5" s="8"/>
      <c r="E5" s="8" t="n">
        <f aca="false">'SCR Summary'!C38</f>
        <v>136142.410157356</v>
      </c>
      <c r="F5" s="8"/>
      <c r="G5" s="8" t="n">
        <f aca="false">'SCR Summary'!C44</f>
        <v>34035.6025393391</v>
      </c>
      <c r="H5" s="8"/>
      <c r="I5" s="7" t="n">
        <f aca="false">'SCR Summary'!C51</f>
        <v>0.687515373731192</v>
      </c>
      <c r="J5" s="7"/>
      <c r="K5" s="7" t="n">
        <f aca="false">Underwriting!F33</f>
        <v>0.82964291901256</v>
      </c>
      <c r="L5" s="7"/>
    </row>
    <row r="6" customFormat="false" ht="15" hidden="false" customHeight="true" outlineLevel="0" collapsed="false">
      <c r="A6" s="9"/>
      <c r="B6" s="9"/>
      <c r="C6" s="10"/>
      <c r="D6" s="10"/>
      <c r="E6" s="10"/>
      <c r="F6" s="10"/>
      <c r="G6" s="11"/>
      <c r="H6" s="11"/>
      <c r="I6" s="9"/>
      <c r="J6" s="9"/>
      <c r="K6" s="11"/>
      <c r="L6" s="11"/>
    </row>
    <row r="8" customFormat="false" ht="15" hidden="false" customHeight="true" outlineLevel="0" collapsed="false">
      <c r="A8" s="12" t="s">
        <v>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5.75" hidden="false" customHeight="true" outlineLevel="0" collapsed="false"/>
    <row r="10" customFormat="false" ht="15" hidden="false" customHeight="true" outlineLevel="0" collapsed="false">
      <c r="A10" s="13" t="s">
        <v>9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customFormat="false" ht="15" hidden="false" customHeight="true" outlineLevel="0" collapsed="false">
      <c r="A11" s="13" t="s">
        <v>11</v>
      </c>
      <c r="B11" s="14" t="s">
        <v>12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customFormat="false" ht="15" hidden="false" customHeight="true" outlineLevel="0" collapsed="false">
      <c r="A12" s="13" t="s">
        <v>13</v>
      </c>
      <c r="B12" s="14" t="s">
        <v>14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customFormat="false" ht="15" hidden="false" customHeight="true" outlineLevel="0" collapsed="false">
      <c r="A13" s="13" t="s">
        <v>15</v>
      </c>
      <c r="B13" s="14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customFormat="false" ht="15" hidden="false" customHeight="true" outlineLevel="0" collapsed="false">
      <c r="A14" s="13" t="s">
        <v>17</v>
      </c>
      <c r="B14" s="14" t="s">
        <v>18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customFormat="false" ht="15" hidden="false" customHeight="true" outlineLevel="0" collapsed="false">
      <c r="A15" s="13" t="s">
        <v>19</v>
      </c>
      <c r="B15" s="14" t="s">
        <v>20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customFormat="false" ht="15" hidden="false" customHeight="true" outlineLevel="0" collapsed="false">
      <c r="A16" s="13" t="s">
        <v>21</v>
      </c>
      <c r="B16" s="14" t="s">
        <v>22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customFormat="false" ht="15" hidden="false" customHeight="true" outlineLevel="0" collapsed="false">
      <c r="A17" s="13" t="s">
        <v>23</v>
      </c>
      <c r="B17" s="14" t="s">
        <v>24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customFormat="false" ht="15" hidden="false" customHeight="true" outlineLevel="0" collapsed="false">
      <c r="A18" s="13" t="s">
        <v>25</v>
      </c>
      <c r="B18" s="14" t="s">
        <v>26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</row>
  </sheetData>
  <mergeCells count="30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8:L8"/>
    <mergeCell ref="B10:L10"/>
    <mergeCell ref="B11:L11"/>
    <mergeCell ref="B12:L12"/>
    <mergeCell ref="B13:L13"/>
    <mergeCell ref="B14:L14"/>
    <mergeCell ref="B15:L15"/>
    <mergeCell ref="B16:L16"/>
    <mergeCell ref="B17:L17"/>
    <mergeCell ref="B18:L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8"/>
    <col collapsed="false" customWidth="true" hidden="false" outlineLevel="0" max="6" min="6" style="1" width="30"/>
  </cols>
  <sheetData>
    <row r="1" customFormat="false" ht="27.75" hidden="false" customHeight="true" outlineLevel="0" collapsed="false">
      <c r="A1" s="15" t="s">
        <v>27</v>
      </c>
      <c r="B1" s="15"/>
      <c r="C1" s="15"/>
      <c r="D1" s="15"/>
      <c r="E1" s="15"/>
      <c r="F1" s="15"/>
    </row>
    <row r="3" customFormat="false" ht="15" hidden="false" customHeight="true" outlineLevel="0" collapsed="false">
      <c r="A3" s="16" t="s">
        <v>28</v>
      </c>
      <c r="B3" s="16"/>
      <c r="C3" s="16"/>
      <c r="D3" s="16"/>
      <c r="E3" s="16"/>
      <c r="F3" s="16"/>
    </row>
    <row r="4" customFormat="false" ht="15" hidden="false" customHeight="true" outlineLevel="0" collapsed="false">
      <c r="A4" s="17" t="s">
        <v>29</v>
      </c>
      <c r="B4" s="17" t="s">
        <v>30</v>
      </c>
      <c r="C4" s="17" t="s">
        <v>31</v>
      </c>
      <c r="D4" s="17" t="s">
        <v>32</v>
      </c>
      <c r="E4" s="17" t="s">
        <v>33</v>
      </c>
      <c r="F4" s="17" t="s">
        <v>34</v>
      </c>
    </row>
    <row r="5" customFormat="false" ht="15" hidden="false" customHeight="true" outlineLevel="0" collapsed="false">
      <c r="A5" s="18" t="s">
        <v>35</v>
      </c>
      <c r="B5" s="19" t="n">
        <v>500000</v>
      </c>
      <c r="C5" s="20" t="s">
        <v>36</v>
      </c>
      <c r="D5" s="19" t="n">
        <v>400000</v>
      </c>
      <c r="E5" s="19" t="n">
        <v>600000</v>
      </c>
      <c r="F5" s="21" t="s">
        <v>37</v>
      </c>
    </row>
    <row r="6" customFormat="false" ht="15" hidden="false" customHeight="true" outlineLevel="0" collapsed="false">
      <c r="A6" s="18" t="s">
        <v>38</v>
      </c>
      <c r="B6" s="22" t="n">
        <v>0.68</v>
      </c>
      <c r="C6" s="20" t="s">
        <v>39</v>
      </c>
      <c r="D6" s="22" t="n">
        <v>0.6</v>
      </c>
      <c r="E6" s="22" t="n">
        <v>0.78</v>
      </c>
      <c r="F6" s="21" t="s">
        <v>40</v>
      </c>
    </row>
    <row r="7" customFormat="false" ht="15" hidden="false" customHeight="true" outlineLevel="0" collapsed="false">
      <c r="A7" s="18" t="s">
        <v>41</v>
      </c>
      <c r="B7" s="22" t="n">
        <v>0.72</v>
      </c>
      <c r="C7" s="20" t="s">
        <v>39</v>
      </c>
      <c r="D7" s="22" t="n">
        <v>0.65</v>
      </c>
      <c r="E7" s="22" t="n">
        <v>0.82</v>
      </c>
      <c r="F7" s="21" t="s">
        <v>40</v>
      </c>
    </row>
    <row r="8" customFormat="false" ht="15" hidden="false" customHeight="true" outlineLevel="0" collapsed="false">
      <c r="A8" s="18" t="s">
        <v>42</v>
      </c>
      <c r="B8" s="22" t="n">
        <v>0.75</v>
      </c>
      <c r="C8" s="20" t="s">
        <v>39</v>
      </c>
      <c r="D8" s="22" t="n">
        <v>0.68</v>
      </c>
      <c r="E8" s="22" t="n">
        <v>0.85</v>
      </c>
      <c r="F8" s="21" t="s">
        <v>43</v>
      </c>
    </row>
    <row r="9" customFormat="false" ht="15" hidden="false" customHeight="true" outlineLevel="0" collapsed="false">
      <c r="A9" s="18" t="s">
        <v>44</v>
      </c>
      <c r="B9" s="22" t="n">
        <v>0.18</v>
      </c>
      <c r="C9" s="20" t="s">
        <v>39</v>
      </c>
      <c r="D9" s="22" t="n">
        <v>0.15</v>
      </c>
      <c r="E9" s="22" t="n">
        <v>0.22</v>
      </c>
      <c r="F9" s="21" t="s">
        <v>45</v>
      </c>
    </row>
    <row r="10" customFormat="false" ht="15" hidden="false" customHeight="true" outlineLevel="0" collapsed="false">
      <c r="A10" s="18" t="s">
        <v>46</v>
      </c>
      <c r="B10" s="22" t="n">
        <v>0.05</v>
      </c>
      <c r="C10" s="20" t="s">
        <v>39</v>
      </c>
      <c r="D10" s="22" t="n">
        <v>0.03</v>
      </c>
      <c r="E10" s="22" t="n">
        <v>0.08</v>
      </c>
      <c r="F10" s="21" t="s">
        <v>47</v>
      </c>
    </row>
    <row r="11" customFormat="false" ht="15" hidden="false" customHeight="true" outlineLevel="0" collapsed="false">
      <c r="A11" s="18" t="s">
        <v>48</v>
      </c>
      <c r="B11" s="22" t="n">
        <v>0.03</v>
      </c>
      <c r="C11" s="20" t="s">
        <v>39</v>
      </c>
      <c r="D11" s="22" t="n">
        <v>0.02</v>
      </c>
      <c r="E11" s="22" t="n">
        <v>0.05</v>
      </c>
      <c r="F11" s="21" t="s">
        <v>47</v>
      </c>
    </row>
    <row r="12" customFormat="false" ht="15" hidden="false" customHeight="true" outlineLevel="0" collapsed="false">
      <c r="A12" s="18" t="s">
        <v>49</v>
      </c>
      <c r="B12" s="22" t="n">
        <v>0.04</v>
      </c>
      <c r="C12" s="20" t="s">
        <v>39</v>
      </c>
      <c r="D12" s="22" t="n">
        <v>0</v>
      </c>
      <c r="E12" s="22" t="n">
        <v>0.08</v>
      </c>
      <c r="F12" s="21" t="s">
        <v>37</v>
      </c>
    </row>
    <row r="13" customFormat="false" ht="15" hidden="false" customHeight="true" outlineLevel="0" collapsed="false">
      <c r="A13" s="18" t="s">
        <v>50</v>
      </c>
      <c r="B13" s="22" t="n">
        <v>0.08</v>
      </c>
      <c r="C13" s="20" t="s">
        <v>39</v>
      </c>
      <c r="D13" s="22" t="n">
        <v>0.05</v>
      </c>
      <c r="E13" s="22" t="n">
        <v>0.12</v>
      </c>
      <c r="F13" s="21" t="s">
        <v>51</v>
      </c>
    </row>
    <row r="14" customFormat="false" ht="15" hidden="false" customHeight="true" outlineLevel="0" collapsed="false">
      <c r="A14" s="18" t="s">
        <v>52</v>
      </c>
      <c r="B14" s="22" t="n">
        <v>0.1</v>
      </c>
      <c r="C14" s="20" t="s">
        <v>39</v>
      </c>
      <c r="D14" s="22" t="n">
        <v>0.06</v>
      </c>
      <c r="E14" s="22" t="n">
        <v>0.15</v>
      </c>
      <c r="F14" s="21" t="s">
        <v>51</v>
      </c>
    </row>
    <row r="17" customFormat="false" ht="15" hidden="false" customHeight="true" outlineLevel="0" collapsed="false">
      <c r="A17" s="16" t="s">
        <v>53</v>
      </c>
      <c r="B17" s="16"/>
      <c r="C17" s="16"/>
      <c r="D17" s="16"/>
      <c r="E17" s="16"/>
      <c r="F17" s="16"/>
    </row>
    <row r="18" customFormat="false" ht="15" hidden="false" customHeight="true" outlineLevel="0" collapsed="false">
      <c r="A18" s="17" t="s">
        <v>29</v>
      </c>
      <c r="B18" s="17" t="s">
        <v>30</v>
      </c>
      <c r="C18" s="17" t="s">
        <v>31</v>
      </c>
      <c r="D18" s="17" t="s">
        <v>32</v>
      </c>
      <c r="E18" s="17" t="s">
        <v>33</v>
      </c>
      <c r="F18" s="17" t="s">
        <v>34</v>
      </c>
    </row>
    <row r="19" customFormat="false" ht="15" hidden="false" customHeight="true" outlineLevel="0" collapsed="false">
      <c r="A19" s="18" t="s">
        <v>54</v>
      </c>
      <c r="B19" s="19" t="n">
        <v>800000</v>
      </c>
      <c r="C19" s="20" t="s">
        <v>36</v>
      </c>
      <c r="F19" s="21" t="s">
        <v>55</v>
      </c>
    </row>
    <row r="20" customFormat="false" ht="15" hidden="false" customHeight="true" outlineLevel="0" collapsed="false">
      <c r="A20" s="18" t="s">
        <v>56</v>
      </c>
      <c r="B20" s="22" t="n">
        <v>0.45</v>
      </c>
      <c r="C20" s="20" t="s">
        <v>39</v>
      </c>
      <c r="F20" s="21" t="s">
        <v>55</v>
      </c>
    </row>
    <row r="21" customFormat="false" ht="15" hidden="false" customHeight="true" outlineLevel="0" collapsed="false">
      <c r="A21" s="18" t="s">
        <v>57</v>
      </c>
      <c r="B21" s="22" t="n">
        <v>0.3</v>
      </c>
      <c r="C21" s="20" t="s">
        <v>39</v>
      </c>
      <c r="F21" s="21" t="s">
        <v>55</v>
      </c>
    </row>
    <row r="22" customFormat="false" ht="15" hidden="false" customHeight="true" outlineLevel="0" collapsed="false">
      <c r="A22" s="18" t="s">
        <v>58</v>
      </c>
      <c r="B22" s="22" t="n">
        <v>0.1</v>
      </c>
      <c r="C22" s="20" t="s">
        <v>39</v>
      </c>
      <c r="F22" s="21" t="s">
        <v>55</v>
      </c>
    </row>
    <row r="23" customFormat="false" ht="15" hidden="false" customHeight="true" outlineLevel="0" collapsed="false">
      <c r="A23" s="18" t="s">
        <v>59</v>
      </c>
      <c r="B23" s="22" t="n">
        <v>0.08</v>
      </c>
      <c r="C23" s="20" t="s">
        <v>39</v>
      </c>
      <c r="F23" s="21" t="s">
        <v>55</v>
      </c>
    </row>
    <row r="24" customFormat="false" ht="15" hidden="false" customHeight="true" outlineLevel="0" collapsed="false">
      <c r="A24" s="18" t="s">
        <v>60</v>
      </c>
      <c r="B24" s="22" t="n">
        <v>0.07</v>
      </c>
      <c r="C24" s="20" t="s">
        <v>39</v>
      </c>
      <c r="F24" s="21" t="s">
        <v>55</v>
      </c>
    </row>
    <row r="25" customFormat="false" ht="15" hidden="false" customHeight="true" outlineLevel="0" collapsed="false">
      <c r="A25" s="18" t="s">
        <v>61</v>
      </c>
      <c r="B25" s="23" t="n">
        <v>6.5</v>
      </c>
      <c r="C25" s="20" t="s">
        <v>62</v>
      </c>
      <c r="D25" s="23" t="n">
        <v>4</v>
      </c>
      <c r="E25" s="23" t="n">
        <v>9</v>
      </c>
      <c r="F25" s="21" t="s">
        <v>55</v>
      </c>
    </row>
    <row r="26" customFormat="false" ht="15" hidden="false" customHeight="true" outlineLevel="0" collapsed="false">
      <c r="A26" s="18" t="s">
        <v>63</v>
      </c>
      <c r="B26" s="24" t="s">
        <v>64</v>
      </c>
      <c r="C26" s="20" t="s">
        <v>65</v>
      </c>
      <c r="F26" s="21" t="s">
        <v>66</v>
      </c>
    </row>
    <row r="27" customFormat="false" ht="15" hidden="false" customHeight="true" outlineLevel="0" collapsed="false">
      <c r="A27" s="18" t="s">
        <v>67</v>
      </c>
      <c r="B27" s="23" t="n">
        <v>0.013</v>
      </c>
      <c r="C27" s="20" t="s">
        <v>68</v>
      </c>
      <c r="F27" s="21" t="s">
        <v>69</v>
      </c>
    </row>
    <row r="28" customFormat="false" ht="15" hidden="false" customHeight="true" outlineLevel="0" collapsed="false">
      <c r="A28" s="18" t="s">
        <v>70</v>
      </c>
      <c r="B28" s="23" t="n">
        <v>-0.009</v>
      </c>
      <c r="C28" s="20" t="s">
        <v>68</v>
      </c>
      <c r="F28" s="21" t="s">
        <v>69</v>
      </c>
    </row>
    <row r="29" customFormat="false" ht="15" hidden="false" customHeight="true" outlineLevel="0" collapsed="false">
      <c r="A29" s="18" t="s">
        <v>71</v>
      </c>
      <c r="B29" s="22" t="n">
        <v>0.39</v>
      </c>
      <c r="C29" s="20" t="s">
        <v>39</v>
      </c>
      <c r="F29" s="21" t="s">
        <v>72</v>
      </c>
    </row>
    <row r="30" customFormat="false" ht="15" hidden="false" customHeight="true" outlineLevel="0" collapsed="false">
      <c r="A30" s="18" t="s">
        <v>73</v>
      </c>
      <c r="B30" s="22" t="n">
        <v>0.49</v>
      </c>
      <c r="C30" s="20" t="s">
        <v>39</v>
      </c>
      <c r="F30" s="21" t="s">
        <v>72</v>
      </c>
    </row>
    <row r="31" customFormat="false" ht="15" hidden="false" customHeight="true" outlineLevel="0" collapsed="false">
      <c r="A31" s="18" t="s">
        <v>74</v>
      </c>
      <c r="B31" s="22" t="n">
        <v>0.25</v>
      </c>
      <c r="C31" s="20" t="s">
        <v>39</v>
      </c>
      <c r="F31" s="21" t="s">
        <v>75</v>
      </c>
    </row>
    <row r="34" customFormat="false" ht="15" hidden="false" customHeight="true" outlineLevel="0" collapsed="false">
      <c r="A34" s="16" t="s">
        <v>76</v>
      </c>
      <c r="B34" s="16"/>
      <c r="C34" s="16"/>
      <c r="D34" s="16"/>
      <c r="E34" s="16"/>
      <c r="F34" s="16"/>
    </row>
    <row r="35" customFormat="false" ht="15" hidden="false" customHeight="true" outlineLevel="0" collapsed="false">
      <c r="A35" s="17" t="s">
        <v>29</v>
      </c>
      <c r="B35" s="17" t="s">
        <v>30</v>
      </c>
      <c r="C35" s="17" t="s">
        <v>31</v>
      </c>
      <c r="D35" s="17" t="s">
        <v>32</v>
      </c>
      <c r="E35" s="17" t="s">
        <v>33</v>
      </c>
      <c r="F35" s="17" t="s">
        <v>34</v>
      </c>
    </row>
    <row r="36" customFormat="false" ht="15" hidden="false" customHeight="true" outlineLevel="0" collapsed="false">
      <c r="A36" s="18" t="s">
        <v>77</v>
      </c>
      <c r="B36" s="22" t="n">
        <v>0.0045</v>
      </c>
      <c r="C36" s="20" t="s">
        <v>39</v>
      </c>
      <c r="D36" s="22" t="n">
        <v>0.003</v>
      </c>
      <c r="E36" s="22" t="n">
        <v>0.006</v>
      </c>
      <c r="F36" s="21" t="s">
        <v>78</v>
      </c>
    </row>
    <row r="37" customFormat="false" ht="15" hidden="false" customHeight="true" outlineLevel="0" collapsed="false">
      <c r="A37" s="18" t="s">
        <v>79</v>
      </c>
      <c r="B37" s="22" t="n">
        <v>0.03</v>
      </c>
      <c r="C37" s="20" t="s">
        <v>39</v>
      </c>
      <c r="D37" s="22" t="n">
        <v>0.025</v>
      </c>
      <c r="E37" s="22" t="n">
        <v>0.04</v>
      </c>
      <c r="F37" s="21" t="s">
        <v>78</v>
      </c>
    </row>
    <row r="38" customFormat="false" ht="15" hidden="false" customHeight="true" outlineLevel="0" collapsed="false">
      <c r="A38" s="18" t="s">
        <v>80</v>
      </c>
      <c r="B38" s="22" t="n">
        <v>0.3</v>
      </c>
      <c r="C38" s="20" t="s">
        <v>39</v>
      </c>
      <c r="F38" s="21" t="s">
        <v>81</v>
      </c>
    </row>
  </sheetData>
  <mergeCells count="4">
    <mergeCell ref="A1:F1"/>
    <mergeCell ref="A3:F3"/>
    <mergeCell ref="A17:F17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6"/>
  </cols>
  <sheetData>
    <row r="1" customFormat="false" ht="27.75" hidden="false" customHeight="true" outlineLevel="0" collapsed="false">
      <c r="A1" s="15" t="s">
        <v>82</v>
      </c>
      <c r="B1" s="15"/>
      <c r="C1" s="15"/>
      <c r="D1" s="15"/>
      <c r="E1" s="15"/>
      <c r="F1" s="15"/>
      <c r="G1" s="15"/>
      <c r="H1" s="15"/>
      <c r="I1" s="15"/>
    </row>
    <row r="3" customFormat="false" ht="15" hidden="false" customHeight="true" outlineLevel="0" collapsed="false">
      <c r="A3" s="16" t="s">
        <v>83</v>
      </c>
      <c r="B3" s="16"/>
      <c r="C3" s="16"/>
      <c r="D3" s="16"/>
      <c r="E3" s="16"/>
      <c r="F3" s="16"/>
      <c r="G3" s="16"/>
      <c r="H3" s="16"/>
      <c r="I3" s="16"/>
    </row>
    <row r="4" customFormat="false" ht="15" hidden="false" customHeight="true" outlineLevel="0" collapsed="false">
      <c r="A4" s="17" t="s">
        <v>84</v>
      </c>
      <c r="B4" s="17" t="s">
        <v>85</v>
      </c>
      <c r="C4" s="17" t="s">
        <v>86</v>
      </c>
      <c r="D4" s="17" t="s">
        <v>87</v>
      </c>
      <c r="E4" s="17" t="s">
        <v>88</v>
      </c>
      <c r="F4" s="17" t="s">
        <v>89</v>
      </c>
      <c r="G4" s="17" t="s">
        <v>90</v>
      </c>
    </row>
    <row r="5" customFormat="false" ht="15" hidden="false" customHeight="true" outlineLevel="0" collapsed="false">
      <c r="A5" s="18" t="s">
        <v>91</v>
      </c>
      <c r="B5" s="19" t="n">
        <v>220000</v>
      </c>
      <c r="C5" s="19" t="n">
        <v>130000</v>
      </c>
      <c r="D5" s="19" t="n">
        <v>90000</v>
      </c>
      <c r="E5" s="19" t="n">
        <v>60000</v>
      </c>
      <c r="F5" s="25" t="n">
        <f aca="false">SUM(B5:E5)</f>
        <v>500000</v>
      </c>
      <c r="G5" s="21" t="s">
        <v>92</v>
      </c>
    </row>
    <row r="6" customFormat="false" ht="15" hidden="false" customHeight="true" outlineLevel="0" collapsed="false">
      <c r="A6" s="18" t="s">
        <v>93</v>
      </c>
      <c r="B6" s="25" t="n">
        <f aca="false">-B5*Assumptions!$B$13</f>
        <v>-17600</v>
      </c>
      <c r="C6" s="25" t="n">
        <f aca="false">-C5*Assumptions!$B$13</f>
        <v>-10400</v>
      </c>
      <c r="D6" s="25" t="n">
        <f aca="false">-D5*Assumptions!$B$13</f>
        <v>-7200</v>
      </c>
      <c r="E6" s="25" t="n">
        <f aca="false">-E5*Assumptions!$B$13</f>
        <v>-4800</v>
      </c>
      <c r="F6" s="25" t="n">
        <f aca="false">SUM(B6:E6)</f>
        <v>-40000</v>
      </c>
    </row>
    <row r="7" customFormat="false" ht="15" hidden="false" customHeight="true" outlineLevel="0" collapsed="false">
      <c r="A7" s="18" t="s">
        <v>94</v>
      </c>
      <c r="B7" s="26" t="n">
        <f aca="false">B5+B6</f>
        <v>202400</v>
      </c>
      <c r="C7" s="26" t="n">
        <f aca="false">C5+C6</f>
        <v>119600</v>
      </c>
      <c r="D7" s="26" t="n">
        <f aca="false">D5+D6</f>
        <v>82800</v>
      </c>
      <c r="E7" s="26" t="n">
        <f aca="false">E5+E6</f>
        <v>55200</v>
      </c>
      <c r="F7" s="26" t="n">
        <f aca="false">SUM(B7:E7)</f>
        <v>460000</v>
      </c>
    </row>
    <row r="8" customFormat="false" ht="15" hidden="false" customHeight="true" outlineLevel="0" collapsed="false">
      <c r="A8" s="18" t="s">
        <v>95</v>
      </c>
      <c r="B8" s="19" t="n">
        <v>2000</v>
      </c>
      <c r="C8" s="19" t="n">
        <v>-1500</v>
      </c>
      <c r="D8" s="19" t="n">
        <v>500</v>
      </c>
      <c r="E8" s="19" t="n">
        <v>800</v>
      </c>
      <c r="F8" s="25" t="n">
        <f aca="false">SUM(B8:E8)</f>
        <v>1800</v>
      </c>
    </row>
    <row r="9" customFormat="false" ht="15" hidden="false" customHeight="true" outlineLevel="0" collapsed="false">
      <c r="A9" s="18" t="s">
        <v>96</v>
      </c>
      <c r="B9" s="26" t="n">
        <f aca="false">B7+B8</f>
        <v>204400</v>
      </c>
      <c r="C9" s="26" t="n">
        <f aca="false">C7+C8</f>
        <v>118100</v>
      </c>
      <c r="D9" s="26" t="n">
        <f aca="false">D7+D8</f>
        <v>83300</v>
      </c>
      <c r="E9" s="26" t="n">
        <f aca="false">E7+E8</f>
        <v>56000</v>
      </c>
      <c r="F9" s="26" t="n">
        <f aca="false">SUM(B9:E9)</f>
        <v>461800</v>
      </c>
    </row>
    <row r="11" customFormat="false" ht="15" hidden="false" customHeight="true" outlineLevel="0" collapsed="false">
      <c r="A11" s="16" t="s">
        <v>97</v>
      </c>
      <c r="B11" s="16"/>
      <c r="C11" s="16"/>
      <c r="D11" s="16"/>
      <c r="E11" s="16"/>
      <c r="F11" s="16"/>
      <c r="G11" s="16"/>
      <c r="H11" s="16"/>
      <c r="I11" s="16"/>
    </row>
    <row r="12" customFormat="false" ht="15" hidden="false" customHeight="true" outlineLevel="0" collapsed="false">
      <c r="A12" s="17" t="s">
        <v>84</v>
      </c>
      <c r="B12" s="17" t="s">
        <v>85</v>
      </c>
      <c r="C12" s="17" t="s">
        <v>86</v>
      </c>
      <c r="D12" s="17" t="s">
        <v>87</v>
      </c>
      <c r="E12" s="17" t="s">
        <v>88</v>
      </c>
      <c r="F12" s="17" t="s">
        <v>89</v>
      </c>
      <c r="G12" s="17" t="s">
        <v>90</v>
      </c>
    </row>
    <row r="13" customFormat="false" ht="15" hidden="false" customHeight="true" outlineLevel="0" collapsed="false">
      <c r="A13" s="18" t="s">
        <v>98</v>
      </c>
      <c r="B13" s="25" t="n">
        <f aca="false">-B9*0.68</f>
        <v>-138992</v>
      </c>
      <c r="C13" s="25" t="n">
        <f aca="false">-C9*0.72</f>
        <v>-85032</v>
      </c>
      <c r="D13" s="25" t="n">
        <f aca="false">-D9*0.75</f>
        <v>-62475</v>
      </c>
      <c r="E13" s="25" t="n">
        <f aca="false">-E9*0.7</f>
        <v>-39200</v>
      </c>
      <c r="F13" s="25" t="n">
        <f aca="false">SUM(B13:E13)</f>
        <v>-325699</v>
      </c>
    </row>
    <row r="14" customFormat="false" ht="15" hidden="false" customHeight="true" outlineLevel="0" collapsed="false">
      <c r="A14" s="18" t="s">
        <v>99</v>
      </c>
      <c r="B14" s="25" t="n">
        <f aca="false">-B13*Assumptions!$B$14</f>
        <v>13899.2</v>
      </c>
      <c r="C14" s="25" t="n">
        <f aca="false">-C13*Assumptions!$B$14</f>
        <v>8503.2</v>
      </c>
      <c r="D14" s="25" t="n">
        <f aca="false">-D13*Assumptions!$B$14</f>
        <v>6247.5</v>
      </c>
      <c r="E14" s="25" t="n">
        <f aca="false">-E13*Assumptions!$B$14</f>
        <v>3920</v>
      </c>
      <c r="F14" s="25" t="n">
        <f aca="false">SUM(B14:E14)</f>
        <v>32569.9</v>
      </c>
    </row>
    <row r="15" customFormat="false" ht="15" hidden="false" customHeight="true" outlineLevel="0" collapsed="false">
      <c r="A15" s="18" t="s">
        <v>100</v>
      </c>
      <c r="B15" s="26" t="n">
        <f aca="false">B13+B14</f>
        <v>-125092.8</v>
      </c>
      <c r="C15" s="26" t="n">
        <f aca="false">C13+C14</f>
        <v>-76528.8</v>
      </c>
      <c r="D15" s="26" t="n">
        <f aca="false">D13+D14</f>
        <v>-56227.5</v>
      </c>
      <c r="E15" s="26" t="n">
        <f aca="false">E13+E14</f>
        <v>-35280</v>
      </c>
      <c r="F15" s="26" t="n">
        <f aca="false">SUM(B15:E15)</f>
        <v>-293129.1</v>
      </c>
    </row>
    <row r="17" customFormat="false" ht="15" hidden="false" customHeight="true" outlineLevel="0" collapsed="false">
      <c r="A17" s="16" t="s">
        <v>101</v>
      </c>
      <c r="B17" s="16"/>
      <c r="C17" s="16"/>
      <c r="D17" s="16"/>
      <c r="E17" s="16"/>
      <c r="F17" s="16"/>
      <c r="G17" s="16"/>
      <c r="H17" s="16"/>
      <c r="I17" s="16"/>
    </row>
    <row r="18" customFormat="false" ht="15" hidden="false" customHeight="true" outlineLevel="0" collapsed="false">
      <c r="A18" s="17" t="s">
        <v>84</v>
      </c>
      <c r="B18" s="17" t="s">
        <v>85</v>
      </c>
      <c r="C18" s="17" t="s">
        <v>86</v>
      </c>
      <c r="D18" s="17" t="s">
        <v>87</v>
      </c>
      <c r="E18" s="17" t="s">
        <v>88</v>
      </c>
      <c r="F18" s="17" t="s">
        <v>89</v>
      </c>
      <c r="G18" s="17" t="s">
        <v>90</v>
      </c>
    </row>
    <row r="19" customFormat="false" ht="15" hidden="false" customHeight="true" outlineLevel="0" collapsed="false">
      <c r="A19" s="18" t="s">
        <v>102</v>
      </c>
      <c r="B19" s="25" t="n">
        <f aca="false">-B5*0.1</f>
        <v>-22000</v>
      </c>
      <c r="C19" s="25" t="n">
        <f aca="false">-C5*0.1</f>
        <v>-13000</v>
      </c>
      <c r="D19" s="25" t="n">
        <f aca="false">-D5*0.1</f>
        <v>-9000</v>
      </c>
      <c r="E19" s="25" t="n">
        <f aca="false">-E5*0.1</f>
        <v>-6000</v>
      </c>
      <c r="F19" s="25" t="n">
        <f aca="false">SUM(B19:E19)</f>
        <v>-50000</v>
      </c>
    </row>
    <row r="20" customFormat="false" ht="15" hidden="false" customHeight="true" outlineLevel="0" collapsed="false">
      <c r="A20" s="18" t="s">
        <v>103</v>
      </c>
      <c r="B20" s="25" t="n">
        <f aca="false">-B5*0.08</f>
        <v>-17600</v>
      </c>
      <c r="C20" s="25" t="n">
        <f aca="false">-C5*0.08</f>
        <v>-10400</v>
      </c>
      <c r="D20" s="25" t="n">
        <f aca="false">-D5*0.08</f>
        <v>-7200</v>
      </c>
      <c r="E20" s="25" t="n">
        <f aca="false">-E5*0.08</f>
        <v>-4800</v>
      </c>
      <c r="F20" s="25" t="n">
        <f aca="false">SUM(B20:E20)</f>
        <v>-40000</v>
      </c>
    </row>
    <row r="21" customFormat="false" ht="15" hidden="false" customHeight="true" outlineLevel="0" collapsed="false">
      <c r="A21" s="18" t="s">
        <v>104</v>
      </c>
      <c r="B21" s="26" t="n">
        <f aca="false">B19+B20</f>
        <v>-39600</v>
      </c>
      <c r="C21" s="26" t="n">
        <f aca="false">C19+C20</f>
        <v>-23400</v>
      </c>
      <c r="D21" s="26" t="n">
        <f aca="false">D19+D20</f>
        <v>-16200</v>
      </c>
      <c r="E21" s="26" t="n">
        <f aca="false">E19+E20</f>
        <v>-10800</v>
      </c>
      <c r="F21" s="26" t="n">
        <f aca="false">SUM(B21:E21)</f>
        <v>-90000</v>
      </c>
    </row>
    <row r="23" customFormat="false" ht="15" hidden="false" customHeight="true" outlineLevel="0" collapsed="false">
      <c r="A23" s="16" t="s">
        <v>105</v>
      </c>
      <c r="B23" s="16"/>
      <c r="C23" s="16"/>
      <c r="D23" s="16"/>
      <c r="E23" s="16"/>
      <c r="F23" s="16"/>
      <c r="G23" s="16"/>
      <c r="H23" s="16"/>
      <c r="I23" s="16"/>
    </row>
    <row r="24" customFormat="false" ht="15" hidden="false" customHeight="true" outlineLevel="0" collapsed="false">
      <c r="A24" s="17" t="s">
        <v>84</v>
      </c>
      <c r="B24" s="17" t="s">
        <v>85</v>
      </c>
      <c r="C24" s="17" t="s">
        <v>86</v>
      </c>
      <c r="D24" s="17" t="s">
        <v>87</v>
      </c>
      <c r="E24" s="17" t="s">
        <v>88</v>
      </c>
      <c r="F24" s="17" t="s">
        <v>89</v>
      </c>
      <c r="G24" s="17" t="s">
        <v>90</v>
      </c>
    </row>
    <row r="25" customFormat="false" ht="15" hidden="false" customHeight="true" outlineLevel="0" collapsed="false">
      <c r="A25" s="18" t="s">
        <v>106</v>
      </c>
      <c r="B25" s="27" t="n">
        <f aca="false">B9+B15+B21</f>
        <v>39707.2</v>
      </c>
      <c r="C25" s="27" t="n">
        <f aca="false">C9+C15+C21</f>
        <v>18171.2</v>
      </c>
      <c r="D25" s="27" t="n">
        <f aca="false">D9+D15+D21</f>
        <v>10872.5</v>
      </c>
      <c r="E25" s="27" t="n">
        <f aca="false">E9+E15+E21</f>
        <v>9920</v>
      </c>
      <c r="F25" s="27" t="n">
        <f aca="false">SUM(B25:E25)</f>
        <v>78670.9</v>
      </c>
    </row>
    <row r="27" customFormat="false" ht="15" hidden="false" customHeight="true" outlineLevel="0" collapsed="false">
      <c r="A27" s="16" t="s">
        <v>107</v>
      </c>
      <c r="B27" s="16"/>
      <c r="C27" s="16"/>
      <c r="D27" s="16"/>
      <c r="E27" s="16"/>
      <c r="F27" s="16"/>
      <c r="G27" s="16"/>
      <c r="H27" s="16"/>
      <c r="I27" s="16"/>
    </row>
    <row r="28" customFormat="false" ht="15" hidden="false" customHeight="true" outlineLevel="0" collapsed="false">
      <c r="A28" s="17" t="s">
        <v>108</v>
      </c>
      <c r="B28" s="17" t="s">
        <v>85</v>
      </c>
      <c r="C28" s="17" t="s">
        <v>86</v>
      </c>
      <c r="D28" s="17" t="s">
        <v>87</v>
      </c>
      <c r="E28" s="17" t="s">
        <v>88</v>
      </c>
      <c r="F28" s="17" t="s">
        <v>89</v>
      </c>
      <c r="G28" s="17" t="s">
        <v>89</v>
      </c>
    </row>
    <row r="29" customFormat="false" ht="15" hidden="false" customHeight="true" outlineLevel="0" collapsed="false">
      <c r="A29" s="18" t="s">
        <v>109</v>
      </c>
      <c r="B29" s="28" t="n">
        <f aca="false">IF(B9=0,0,-B13/B9)</f>
        <v>0.68</v>
      </c>
      <c r="C29" s="28" t="n">
        <f aca="false">IF(C9=0,0,-C13/C9)</f>
        <v>0.72</v>
      </c>
      <c r="D29" s="28" t="n">
        <f aca="false">IF(D9=0,0,-D13/D9)</f>
        <v>0.75</v>
      </c>
      <c r="E29" s="28" t="n">
        <f aca="false">IF(E9=0,0,-E13/E9)</f>
        <v>0.7</v>
      </c>
      <c r="F29" s="28" t="n">
        <f aca="false">IF(F9=0,0,-F13/F9)</f>
        <v>0.705281507145951</v>
      </c>
    </row>
    <row r="30" customFormat="false" ht="15" hidden="false" customHeight="true" outlineLevel="0" collapsed="false">
      <c r="A30" s="18" t="s">
        <v>110</v>
      </c>
      <c r="B30" s="28" t="n">
        <f aca="false">IF(B9=0,0,-B15/B9)</f>
        <v>0.612</v>
      </c>
      <c r="C30" s="28" t="n">
        <f aca="false">IF(C9=0,0,-C15/C9)</f>
        <v>0.648</v>
      </c>
      <c r="D30" s="28" t="n">
        <f aca="false">IF(D9=0,0,-D15/D9)</f>
        <v>0.675</v>
      </c>
      <c r="E30" s="28" t="n">
        <f aca="false">IF(E9=0,0,-E15/E9)</f>
        <v>0.63</v>
      </c>
      <c r="F30" s="28" t="n">
        <f aca="false">IF(F9=0,0,-F15/F9)</f>
        <v>0.634753356431356</v>
      </c>
    </row>
    <row r="31" customFormat="false" ht="15" hidden="false" customHeight="true" outlineLevel="0" collapsed="false">
      <c r="A31" s="18" t="s">
        <v>44</v>
      </c>
      <c r="B31" s="28" t="n">
        <f aca="false">IF(B9=0,0,-B21/B9)</f>
        <v>0.193737769080235</v>
      </c>
      <c r="C31" s="28" t="n">
        <f aca="false">IF(C9=0,0,-C21/C9)</f>
        <v>0.19813717188823</v>
      </c>
      <c r="D31" s="28" t="n">
        <f aca="false">IF(D9=0,0,-D21/D9)</f>
        <v>0.194477791116447</v>
      </c>
      <c r="E31" s="28" t="n">
        <f aca="false">IF(E9=0,0,-E21/E9)</f>
        <v>0.192857142857143</v>
      </c>
      <c r="F31" s="28" t="n">
        <f aca="false">IF(F9=0,0,-F21/F9)</f>
        <v>0.194889562581204</v>
      </c>
    </row>
    <row r="32" customFormat="false" ht="15" hidden="false" customHeight="true" outlineLevel="0" collapsed="false">
      <c r="A32" s="18" t="s">
        <v>111</v>
      </c>
      <c r="B32" s="28" t="n">
        <f aca="false">IF(B5=0,0,-B6/B5)</f>
        <v>0.08</v>
      </c>
      <c r="C32" s="28" t="n">
        <f aca="false">IF(C5=0,0,-C6/C5)</f>
        <v>0.08</v>
      </c>
      <c r="D32" s="28" t="n">
        <f aca="false">IF(D5=0,0,-D6/D5)</f>
        <v>0.08</v>
      </c>
      <c r="E32" s="28" t="n">
        <f aca="false">IF(E5=0,0,-E6/E5)</f>
        <v>0.08</v>
      </c>
      <c r="F32" s="28" t="n">
        <f aca="false">IF(F5=0,0,-F6/F5)</f>
        <v>0.08</v>
      </c>
    </row>
    <row r="33" customFormat="false" ht="15" hidden="false" customHeight="true" outlineLevel="0" collapsed="false">
      <c r="A33" s="18" t="s">
        <v>7</v>
      </c>
      <c r="B33" s="28" t="n">
        <f aca="false">B30+B31</f>
        <v>0.805737769080235</v>
      </c>
      <c r="C33" s="28" t="n">
        <f aca="false">C30+C31</f>
        <v>0.84613717188823</v>
      </c>
      <c r="D33" s="28" t="n">
        <f aca="false">D30+D31</f>
        <v>0.869477791116447</v>
      </c>
      <c r="E33" s="28" t="n">
        <f aca="false">E30+E31</f>
        <v>0.822857142857143</v>
      </c>
      <c r="F33" s="28" t="n">
        <f aca="false">F30+F31</f>
        <v>0.82964291901256</v>
      </c>
    </row>
    <row r="35" customFormat="false" ht="15" hidden="false" customHeight="true" outlineLevel="0" collapsed="false">
      <c r="A35" s="29" t="s">
        <v>112</v>
      </c>
      <c r="I35" s="30" t="n">
        <f aca="false">F33</f>
        <v>0.82964291901256</v>
      </c>
    </row>
  </sheetData>
  <mergeCells count="6">
    <mergeCell ref="A1:I1"/>
    <mergeCell ref="A3:I3"/>
    <mergeCell ref="A11:I11"/>
    <mergeCell ref="A17:I17"/>
    <mergeCell ref="A23:I23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8"/>
    <col collapsed="false" customWidth="true" hidden="false" outlineLevel="0" max="5" min="5" style="1" width="20"/>
  </cols>
  <sheetData>
    <row r="1" customFormat="false" ht="27.75" hidden="false" customHeight="true" outlineLevel="0" collapsed="false">
      <c r="A1" s="15" t="s">
        <v>113</v>
      </c>
      <c r="B1" s="15"/>
      <c r="C1" s="15"/>
      <c r="D1" s="15"/>
      <c r="E1" s="15"/>
    </row>
    <row r="3" customFormat="false" ht="15" hidden="false" customHeight="true" outlineLevel="0" collapsed="false">
      <c r="A3" s="17" t="s">
        <v>84</v>
      </c>
      <c r="B3" s="17" t="s">
        <v>114</v>
      </c>
      <c r="C3" s="17" t="s">
        <v>115</v>
      </c>
      <c r="D3" s="17" t="s">
        <v>116</v>
      </c>
      <c r="E3" s="17" t="s">
        <v>90</v>
      </c>
    </row>
    <row r="4" customFormat="false" ht="15" hidden="false" customHeight="true" outlineLevel="0" collapsed="false">
      <c r="A4" s="16" t="s">
        <v>117</v>
      </c>
      <c r="B4" s="16"/>
      <c r="C4" s="16"/>
      <c r="D4" s="16"/>
      <c r="E4" s="16"/>
    </row>
    <row r="5" customFormat="false" ht="15" hidden="false" customHeight="true" outlineLevel="0" collapsed="false">
      <c r="A5" s="18" t="s">
        <v>118</v>
      </c>
      <c r="B5" s="19" t="n">
        <v>360000</v>
      </c>
      <c r="C5" s="19" t="n">
        <v>5000</v>
      </c>
      <c r="D5" s="25" t="n">
        <f aca="false">B5+C5</f>
        <v>365000</v>
      </c>
      <c r="E5" s="21"/>
    </row>
    <row r="6" customFormat="false" ht="15" hidden="false" customHeight="true" outlineLevel="0" collapsed="false">
      <c r="A6" s="18" t="s">
        <v>119</v>
      </c>
      <c r="B6" s="19" t="n">
        <v>240000</v>
      </c>
      <c r="C6" s="19" t="n">
        <v>-8000</v>
      </c>
      <c r="D6" s="25" t="n">
        <f aca="false">B6+C6</f>
        <v>232000</v>
      </c>
      <c r="E6" s="21"/>
    </row>
    <row r="7" customFormat="false" ht="15" hidden="false" customHeight="true" outlineLevel="0" collapsed="false">
      <c r="A7" s="18" t="s">
        <v>120</v>
      </c>
      <c r="B7" s="19" t="n">
        <v>80000</v>
      </c>
      <c r="C7" s="19" t="n">
        <v>12000</v>
      </c>
      <c r="D7" s="25" t="n">
        <f aca="false">B7+C7</f>
        <v>92000</v>
      </c>
      <c r="E7" s="21"/>
    </row>
    <row r="8" customFormat="false" ht="15" hidden="false" customHeight="true" outlineLevel="0" collapsed="false">
      <c r="A8" s="18" t="s">
        <v>121</v>
      </c>
      <c r="B8" s="19" t="n">
        <v>64000</v>
      </c>
      <c r="C8" s="19" t="n">
        <v>6000</v>
      </c>
      <c r="D8" s="25" t="n">
        <f aca="false">B8+C8</f>
        <v>70000</v>
      </c>
      <c r="E8" s="21"/>
    </row>
    <row r="9" customFormat="false" ht="15" hidden="false" customHeight="true" outlineLevel="0" collapsed="false">
      <c r="A9" s="18" t="s">
        <v>122</v>
      </c>
      <c r="B9" s="19" t="n">
        <v>56000</v>
      </c>
      <c r="C9" s="19" t="n">
        <v>0</v>
      </c>
      <c r="D9" s="25" t="n">
        <f aca="false">B9+C9</f>
        <v>56000</v>
      </c>
      <c r="E9" s="21"/>
    </row>
    <row r="10" customFormat="false" ht="15" hidden="false" customHeight="true" outlineLevel="0" collapsed="false">
      <c r="A10" s="18" t="s">
        <v>123</v>
      </c>
      <c r="B10" s="19" t="n">
        <v>45000</v>
      </c>
      <c r="C10" s="19" t="n">
        <v>-3000</v>
      </c>
      <c r="D10" s="25" t="n">
        <f aca="false">B10+C10</f>
        <v>42000</v>
      </c>
      <c r="E10" s="21"/>
    </row>
    <row r="11" customFormat="false" ht="15" hidden="false" customHeight="true" outlineLevel="0" collapsed="false">
      <c r="A11" s="18" t="s">
        <v>124</v>
      </c>
      <c r="B11" s="19" t="n">
        <v>8000</v>
      </c>
      <c r="C11" s="19" t="n">
        <v>-8000</v>
      </c>
      <c r="D11" s="25" t="n">
        <f aca="false">B11+C11</f>
        <v>0</v>
      </c>
      <c r="E11" s="21"/>
    </row>
    <row r="12" customFormat="false" ht="15" hidden="false" customHeight="true" outlineLevel="0" collapsed="false">
      <c r="A12" s="18" t="s">
        <v>125</v>
      </c>
      <c r="B12" s="19" t="n">
        <v>22000</v>
      </c>
      <c r="C12" s="19" t="n">
        <v>-5000</v>
      </c>
      <c r="D12" s="25" t="n">
        <f aca="false">B12+C12</f>
        <v>17000</v>
      </c>
      <c r="E12" s="21"/>
    </row>
    <row r="13" customFormat="false" ht="15" hidden="false" customHeight="true" outlineLevel="0" collapsed="false">
      <c r="A13" s="31" t="s">
        <v>126</v>
      </c>
      <c r="B13" s="26" t="n">
        <f aca="false">SUM(B5:B12)</f>
        <v>875000</v>
      </c>
      <c r="C13" s="26" t="n">
        <f aca="false">SUM(C5:C12)</f>
        <v>-1000</v>
      </c>
      <c r="D13" s="26" t="n">
        <f aca="false">SUM(D5:D12)</f>
        <v>874000</v>
      </c>
    </row>
    <row r="15" customFormat="false" ht="15" hidden="false" customHeight="true" outlineLevel="0" collapsed="false">
      <c r="A15" s="16" t="s">
        <v>127</v>
      </c>
      <c r="B15" s="16"/>
      <c r="C15" s="16"/>
      <c r="D15" s="16"/>
      <c r="E15" s="16"/>
    </row>
    <row r="16" customFormat="false" ht="15" hidden="false" customHeight="true" outlineLevel="0" collapsed="false">
      <c r="A16" s="18" t="s">
        <v>128</v>
      </c>
      <c r="B16" s="19" t="n">
        <v>155000</v>
      </c>
      <c r="C16" s="19" t="n">
        <v>-12000</v>
      </c>
      <c r="D16" s="25" t="n">
        <f aca="false">B16+C16</f>
        <v>143000</v>
      </c>
    </row>
    <row r="17" customFormat="false" ht="15" hidden="false" customHeight="true" outlineLevel="0" collapsed="false">
      <c r="A17" s="18" t="s">
        <v>129</v>
      </c>
      <c r="B17" s="19" t="n">
        <v>98000</v>
      </c>
      <c r="C17" s="19" t="n">
        <v>-8000</v>
      </c>
      <c r="D17" s="25" t="n">
        <f aca="false">B17+C17</f>
        <v>90000</v>
      </c>
    </row>
    <row r="18" customFormat="false" ht="15" hidden="false" customHeight="true" outlineLevel="0" collapsed="false">
      <c r="A18" s="18" t="s">
        <v>130</v>
      </c>
      <c r="B18" s="19" t="n">
        <v>145000</v>
      </c>
      <c r="C18" s="19" t="n">
        <v>-10000</v>
      </c>
      <c r="D18" s="25" t="n">
        <f aca="false">B18+C18</f>
        <v>135000</v>
      </c>
    </row>
    <row r="19" customFormat="false" ht="15" hidden="false" customHeight="true" outlineLevel="0" collapsed="false">
      <c r="A19" s="18" t="s">
        <v>131</v>
      </c>
      <c r="B19" s="19" t="n">
        <v>0</v>
      </c>
      <c r="C19" s="19" t="n">
        <v>18000</v>
      </c>
      <c r="D19" s="25" t="n">
        <f aca="false">B19+C19</f>
        <v>18000</v>
      </c>
    </row>
    <row r="20" customFormat="false" ht="15" hidden="false" customHeight="true" outlineLevel="0" collapsed="false">
      <c r="A20" s="18" t="s">
        <v>132</v>
      </c>
      <c r="B20" s="26" t="n">
        <f aca="false">B16+B17+B18</f>
        <v>398000</v>
      </c>
      <c r="C20" s="26" t="n">
        <f aca="false">C16+C17+C18+C19</f>
        <v>-12000</v>
      </c>
      <c r="D20" s="26" t="n">
        <f aca="false">D16+D17+D18+D19</f>
        <v>386000</v>
      </c>
    </row>
    <row r="21" customFormat="false" ht="15" hidden="false" customHeight="true" outlineLevel="0" collapsed="false">
      <c r="A21" s="18" t="s">
        <v>133</v>
      </c>
      <c r="B21" s="19" t="n">
        <v>35000</v>
      </c>
      <c r="C21" s="19" t="n">
        <v>-1000</v>
      </c>
      <c r="D21" s="25" t="n">
        <f aca="false">B21+C21</f>
        <v>34000</v>
      </c>
    </row>
    <row r="22" customFormat="false" ht="15" hidden="false" customHeight="true" outlineLevel="0" collapsed="false">
      <c r="A22" s="18" t="s">
        <v>134</v>
      </c>
      <c r="B22" s="19" t="n">
        <v>28000</v>
      </c>
      <c r="C22" s="19" t="n">
        <v>-2000</v>
      </c>
      <c r="D22" s="25" t="n">
        <f aca="false">B22+C22</f>
        <v>26000</v>
      </c>
    </row>
    <row r="23" customFormat="false" ht="15" hidden="false" customHeight="true" outlineLevel="0" collapsed="false">
      <c r="A23" s="18" t="s">
        <v>135</v>
      </c>
      <c r="B23" s="19" t="n">
        <v>12000</v>
      </c>
      <c r="C23" s="19" t="n">
        <v>4000</v>
      </c>
      <c r="D23" s="25" t="n">
        <f aca="false">B23+C23</f>
        <v>16000</v>
      </c>
    </row>
    <row r="24" customFormat="false" ht="15" hidden="false" customHeight="true" outlineLevel="0" collapsed="false">
      <c r="A24" s="31" t="s">
        <v>136</v>
      </c>
      <c r="B24" s="26" t="n">
        <f aca="false">SUM(B16:B23)</f>
        <v>871000</v>
      </c>
      <c r="C24" s="26" t="n">
        <f aca="false">SUM(C16:C23)</f>
        <v>-23000</v>
      </c>
      <c r="D24" s="26" t="n">
        <f aca="false">SUM(D16:D23)</f>
        <v>848000</v>
      </c>
    </row>
    <row r="26" customFormat="false" ht="15" hidden="false" customHeight="true" outlineLevel="0" collapsed="false">
      <c r="A26" s="16" t="s">
        <v>137</v>
      </c>
      <c r="B26" s="16"/>
      <c r="C26" s="16"/>
      <c r="D26" s="16"/>
      <c r="E26" s="16"/>
    </row>
    <row r="27" customFormat="false" ht="15" hidden="false" customHeight="true" outlineLevel="0" collapsed="false">
      <c r="A27" s="32" t="s">
        <v>138</v>
      </c>
      <c r="D27" s="25" t="n">
        <f aca="false">D13-D24</f>
        <v>26000</v>
      </c>
    </row>
    <row r="29" customFormat="false" ht="15" hidden="false" customHeight="true" outlineLevel="0" collapsed="false">
      <c r="A29" s="16" t="s">
        <v>139</v>
      </c>
      <c r="B29" s="16"/>
      <c r="C29" s="16"/>
      <c r="D29" s="16"/>
      <c r="E29" s="16"/>
    </row>
    <row r="30" customFormat="false" ht="15" hidden="false" customHeight="true" outlineLevel="0" collapsed="false">
      <c r="A30" s="17" t="s">
        <v>140</v>
      </c>
      <c r="B30" s="17" t="s">
        <v>141</v>
      </c>
      <c r="C30" s="17" t="s">
        <v>142</v>
      </c>
      <c r="D30" s="17" t="s">
        <v>143</v>
      </c>
      <c r="E30" s="17" t="s">
        <v>144</v>
      </c>
    </row>
    <row r="31" customFormat="false" ht="15" hidden="false" customHeight="true" outlineLevel="0" collapsed="false">
      <c r="A31" s="33" t="s">
        <v>145</v>
      </c>
      <c r="B31" s="34" t="s">
        <v>146</v>
      </c>
      <c r="C31" s="25" t="n">
        <f aca="false">D27*0.82</f>
        <v>21320</v>
      </c>
      <c r="D31" s="28" t="n">
        <f aca="false">C31/C35</f>
        <v>0.82</v>
      </c>
      <c r="E31" s="35" t="s">
        <v>147</v>
      </c>
    </row>
    <row r="32" customFormat="false" ht="15" hidden="false" customHeight="true" outlineLevel="0" collapsed="false">
      <c r="A32" s="33" t="s">
        <v>148</v>
      </c>
      <c r="B32" s="34" t="s">
        <v>149</v>
      </c>
      <c r="C32" s="25" t="n">
        <f aca="false">D27*0.08</f>
        <v>2080</v>
      </c>
      <c r="D32" s="28" t="n">
        <f aca="false">C32/C35</f>
        <v>0.08</v>
      </c>
      <c r="E32" s="35" t="s">
        <v>150</v>
      </c>
    </row>
    <row r="33" customFormat="false" ht="15" hidden="false" customHeight="true" outlineLevel="0" collapsed="false">
      <c r="A33" s="33" t="s">
        <v>151</v>
      </c>
      <c r="B33" s="34" t="s">
        <v>152</v>
      </c>
      <c r="C33" s="25" t="n">
        <f aca="false">D27*0.07</f>
        <v>1820</v>
      </c>
      <c r="D33" s="28" t="n">
        <f aca="false">C33/C35</f>
        <v>0.07</v>
      </c>
      <c r="E33" s="35" t="s">
        <v>153</v>
      </c>
    </row>
    <row r="34" customFormat="false" ht="15" hidden="false" customHeight="true" outlineLevel="0" collapsed="false">
      <c r="A34" s="33" t="s">
        <v>154</v>
      </c>
      <c r="B34" s="34" t="s">
        <v>155</v>
      </c>
      <c r="C34" s="25" t="n">
        <f aca="false">D27*0.03</f>
        <v>780</v>
      </c>
      <c r="D34" s="28" t="n">
        <f aca="false">C34/C35</f>
        <v>0.03</v>
      </c>
      <c r="E34" s="35" t="s">
        <v>156</v>
      </c>
    </row>
    <row r="35" customFormat="false" ht="15" hidden="false" customHeight="true" outlineLevel="0" collapsed="false">
      <c r="A35" s="36" t="s">
        <v>157</v>
      </c>
      <c r="C35" s="27" t="n">
        <f aca="false">SUM(C31:C34)</f>
        <v>26000</v>
      </c>
    </row>
  </sheetData>
  <mergeCells count="5">
    <mergeCell ref="A1:E1"/>
    <mergeCell ref="A4:E4"/>
    <mergeCell ref="A15:E15"/>
    <mergeCell ref="A26:E26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3C"/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6" min="6" style="1" width="22"/>
  </cols>
  <sheetData>
    <row r="1" customFormat="false" ht="27.75" hidden="false" customHeight="true" outlineLevel="0" collapsed="false">
      <c r="A1" s="15" t="s">
        <v>158</v>
      </c>
      <c r="B1" s="15"/>
      <c r="C1" s="15"/>
      <c r="D1" s="15"/>
      <c r="E1" s="15"/>
      <c r="F1" s="15"/>
    </row>
    <row r="3" customFormat="false" ht="15" hidden="false" customHeight="true" outlineLevel="0" collapsed="false">
      <c r="A3" s="16" t="s">
        <v>159</v>
      </c>
      <c r="B3" s="16"/>
      <c r="C3" s="16"/>
      <c r="D3" s="16"/>
      <c r="E3" s="16"/>
      <c r="F3" s="16"/>
    </row>
    <row r="4" customFormat="false" ht="15" hidden="false" customHeight="true" outlineLevel="0" collapsed="false">
      <c r="A4" s="17" t="s">
        <v>160</v>
      </c>
      <c r="B4" s="17" t="s">
        <v>161</v>
      </c>
      <c r="C4" s="17" t="s">
        <v>162</v>
      </c>
      <c r="D4" s="17" t="s">
        <v>163</v>
      </c>
      <c r="E4" s="17" t="s">
        <v>90</v>
      </c>
      <c r="F4" s="17" t="s">
        <v>164</v>
      </c>
    </row>
    <row r="5" customFormat="false" ht="15" hidden="false" customHeight="true" outlineLevel="0" collapsed="false">
      <c r="A5" s="18" t="s">
        <v>165</v>
      </c>
      <c r="B5" s="21" t="s">
        <v>166</v>
      </c>
      <c r="C5" s="19" t="n">
        <v>22000</v>
      </c>
      <c r="D5" s="25" t="n">
        <f aca="false">C5*0.15</f>
        <v>3300</v>
      </c>
      <c r="E5" s="35" t="s">
        <v>167</v>
      </c>
      <c r="F5" s="37" t="s">
        <v>168</v>
      </c>
    </row>
    <row r="6" customFormat="false" ht="15" hidden="false" customHeight="true" outlineLevel="0" collapsed="false">
      <c r="A6" s="18" t="s">
        <v>169</v>
      </c>
      <c r="B6" s="21" t="s">
        <v>170</v>
      </c>
      <c r="C6" s="19" t="n">
        <v>45000</v>
      </c>
      <c r="D6" s="25" t="n">
        <f aca="false">C6*0.2</f>
        <v>9000</v>
      </c>
      <c r="E6" s="35" t="s">
        <v>167</v>
      </c>
      <c r="F6" s="37" t="s">
        <v>171</v>
      </c>
    </row>
    <row r="7" customFormat="false" ht="15" hidden="false" customHeight="true" outlineLevel="0" collapsed="false">
      <c r="A7" s="18" t="s">
        <v>172</v>
      </c>
      <c r="B7" s="21" t="s">
        <v>173</v>
      </c>
      <c r="C7" s="19" t="n">
        <v>68000</v>
      </c>
      <c r="D7" s="25" t="n">
        <f aca="false">C7*0.35</f>
        <v>23800</v>
      </c>
      <c r="E7" s="35" t="s">
        <v>174</v>
      </c>
      <c r="F7" s="37" t="s">
        <v>175</v>
      </c>
    </row>
    <row r="8" customFormat="false" ht="15" hidden="false" customHeight="true" outlineLevel="0" collapsed="false">
      <c r="A8" s="18" t="s">
        <v>176</v>
      </c>
      <c r="B8" s="21" t="s">
        <v>177</v>
      </c>
      <c r="C8" s="19" t="n">
        <v>35000</v>
      </c>
      <c r="D8" s="25" t="n">
        <f aca="false">C8*0.5</f>
        <v>17500</v>
      </c>
      <c r="E8" s="35" t="s">
        <v>178</v>
      </c>
      <c r="F8" s="37" t="s">
        <v>179</v>
      </c>
    </row>
    <row r="9" customFormat="false" ht="15" hidden="false" customHeight="true" outlineLevel="0" collapsed="false">
      <c r="A9" s="18" t="s">
        <v>180</v>
      </c>
      <c r="B9" s="21" t="s">
        <v>181</v>
      </c>
      <c r="C9" s="19" t="n">
        <v>12000</v>
      </c>
      <c r="D9" s="25" t="n">
        <f aca="false">C9*0.1</f>
        <v>1200</v>
      </c>
      <c r="E9" s="35" t="s">
        <v>182</v>
      </c>
      <c r="F9" s="37" t="s">
        <v>183</v>
      </c>
    </row>
    <row r="10" customFormat="false" ht="15" hidden="false" customHeight="true" outlineLevel="0" collapsed="false">
      <c r="A10" s="18" t="s">
        <v>184</v>
      </c>
      <c r="B10" s="21" t="s">
        <v>185</v>
      </c>
      <c r="C10" s="19" t="n">
        <v>8000</v>
      </c>
      <c r="D10" s="25" t="n">
        <f aca="false">C10*0.03</f>
        <v>240</v>
      </c>
      <c r="E10" s="35" t="s">
        <v>186</v>
      </c>
      <c r="F10" s="37" t="s">
        <v>187</v>
      </c>
    </row>
    <row r="13" customFormat="false" ht="15" hidden="false" customHeight="true" outlineLevel="0" collapsed="false">
      <c r="A13" s="16" t="s">
        <v>188</v>
      </c>
      <c r="B13" s="16"/>
      <c r="C13" s="16"/>
      <c r="D13" s="16"/>
      <c r="E13" s="16"/>
      <c r="F13" s="16"/>
    </row>
    <row r="14" customFormat="false" ht="15" hidden="false" customHeight="true" outlineLevel="0" collapsed="false">
      <c r="B14" s="17" t="s">
        <v>189</v>
      </c>
      <c r="C14" s="17" t="s">
        <v>190</v>
      </c>
      <c r="D14" s="17" t="s">
        <v>191</v>
      </c>
      <c r="E14" s="17" t="s">
        <v>192</v>
      </c>
      <c r="F14" s="17" t="s">
        <v>193</v>
      </c>
      <c r="G14" s="17" t="s">
        <v>194</v>
      </c>
    </row>
    <row r="15" customFormat="false" ht="15" hidden="false" customHeight="true" outlineLevel="0" collapsed="false">
      <c r="A15" s="38" t="s">
        <v>189</v>
      </c>
      <c r="B15" s="39" t="n">
        <v>1</v>
      </c>
      <c r="C15" s="40" t="n">
        <v>0</v>
      </c>
      <c r="D15" s="40" t="n">
        <v>0.5</v>
      </c>
      <c r="E15" s="40" t="n">
        <v>0</v>
      </c>
      <c r="F15" s="40" t="n">
        <v>0.25</v>
      </c>
      <c r="G15" s="40" t="n">
        <v>0</v>
      </c>
    </row>
    <row r="16" customFormat="false" ht="15" hidden="false" customHeight="true" outlineLevel="0" collapsed="false">
      <c r="A16" s="38" t="s">
        <v>190</v>
      </c>
      <c r="B16" s="40" t="n">
        <v>0</v>
      </c>
      <c r="C16" s="39" t="n">
        <v>1</v>
      </c>
      <c r="D16" s="40" t="n">
        <v>0</v>
      </c>
      <c r="E16" s="40" t="n">
        <v>0.25</v>
      </c>
      <c r="F16" s="40" t="n">
        <v>0.25</v>
      </c>
      <c r="G16" s="40" t="n">
        <v>0.25</v>
      </c>
    </row>
    <row r="17" customFormat="false" ht="15" hidden="false" customHeight="true" outlineLevel="0" collapsed="false">
      <c r="A17" s="38" t="s">
        <v>191</v>
      </c>
      <c r="B17" s="40" t="n">
        <v>0.5</v>
      </c>
      <c r="C17" s="40" t="n">
        <v>0</v>
      </c>
      <c r="D17" s="39" t="n">
        <v>1</v>
      </c>
      <c r="E17" s="40" t="n">
        <v>0</v>
      </c>
      <c r="F17" s="40" t="n">
        <v>0.5</v>
      </c>
      <c r="G17" s="40" t="n">
        <v>0</v>
      </c>
    </row>
    <row r="18" customFormat="false" ht="15" hidden="false" customHeight="true" outlineLevel="0" collapsed="false">
      <c r="A18" s="38" t="s">
        <v>192</v>
      </c>
      <c r="B18" s="40" t="n">
        <v>0</v>
      </c>
      <c r="C18" s="40" t="n">
        <v>0.25</v>
      </c>
      <c r="D18" s="40" t="n">
        <v>0</v>
      </c>
      <c r="E18" s="39" t="n">
        <v>1</v>
      </c>
      <c r="F18" s="40" t="n">
        <v>0.5</v>
      </c>
      <c r="G18" s="40" t="n">
        <v>0</v>
      </c>
    </row>
    <row r="19" customFormat="false" ht="15" hidden="false" customHeight="true" outlineLevel="0" collapsed="false">
      <c r="A19" s="38" t="s">
        <v>193</v>
      </c>
      <c r="B19" s="40" t="n">
        <v>0.25</v>
      </c>
      <c r="C19" s="40" t="n">
        <v>0.25</v>
      </c>
      <c r="D19" s="40" t="n">
        <v>0.5</v>
      </c>
      <c r="E19" s="40" t="n">
        <v>0.5</v>
      </c>
      <c r="F19" s="39" t="n">
        <v>1</v>
      </c>
      <c r="G19" s="40" t="n">
        <v>0</v>
      </c>
    </row>
    <row r="20" customFormat="false" ht="15" hidden="false" customHeight="true" outlineLevel="0" collapsed="false">
      <c r="A20" s="38" t="s">
        <v>194</v>
      </c>
      <c r="B20" s="40" t="n">
        <v>0</v>
      </c>
      <c r="C20" s="40" t="n">
        <v>0.25</v>
      </c>
      <c r="D20" s="40" t="n">
        <v>0</v>
      </c>
      <c r="E20" s="40" t="n">
        <v>0</v>
      </c>
      <c r="F20" s="40" t="n">
        <v>0</v>
      </c>
      <c r="G20" s="39" t="n">
        <v>1</v>
      </c>
    </row>
    <row r="22" customFormat="false" ht="15" hidden="false" customHeight="true" outlineLevel="0" collapsed="false">
      <c r="A22" s="41" t="s">
        <v>195</v>
      </c>
      <c r="D22" s="27" t="n">
        <f aca="false">SQRT(D5^2+D6^2+D7^2+D8^2+D9^2+D10^2+2*0.5*D5*D7+2*0.25*D5*D9+2*0.25*D6*D8+2*0.25*D6*D9+2*0.25*D6*D10+2*0.5*D7*D9+2*0.5*D8*D9)</f>
        <v>34371.3194393233</v>
      </c>
    </row>
    <row r="24" customFormat="false" ht="15" hidden="false" customHeight="true" outlineLevel="0" collapsed="false">
      <c r="A24" s="16" t="s">
        <v>196</v>
      </c>
      <c r="B24" s="16"/>
      <c r="C24" s="16"/>
      <c r="D24" s="16"/>
      <c r="E24" s="16"/>
      <c r="F24" s="16"/>
    </row>
    <row r="25" customFormat="false" ht="15" hidden="false" customHeight="true" outlineLevel="0" collapsed="false">
      <c r="A25" s="17" t="s">
        <v>160</v>
      </c>
      <c r="B25" s="17" t="s">
        <v>161</v>
      </c>
      <c r="C25" s="17" t="s">
        <v>197</v>
      </c>
      <c r="D25" s="17" t="s">
        <v>163</v>
      </c>
      <c r="E25" s="17" t="s">
        <v>90</v>
      </c>
      <c r="F25" s="17" t="s">
        <v>164</v>
      </c>
    </row>
    <row r="26" customFormat="false" ht="15" hidden="false" customHeight="true" outlineLevel="0" collapsed="false">
      <c r="A26" s="18" t="s">
        <v>198</v>
      </c>
      <c r="B26" s="21" t="s">
        <v>199</v>
      </c>
      <c r="C26" s="19" t="n">
        <v>420000</v>
      </c>
      <c r="D26" s="25" t="n">
        <f aca="false">C26*0.085</f>
        <v>35700</v>
      </c>
      <c r="E26" s="35" t="s">
        <v>200</v>
      </c>
      <c r="F26" s="37" t="s">
        <v>201</v>
      </c>
    </row>
    <row r="27" customFormat="false" ht="15" hidden="false" customHeight="true" outlineLevel="0" collapsed="false">
      <c r="A27" s="18" t="s">
        <v>202</v>
      </c>
      <c r="B27" s="21" t="s">
        <v>203</v>
      </c>
      <c r="C27" s="19" t="n">
        <v>85000</v>
      </c>
      <c r="D27" s="25" t="n">
        <f aca="false">C27*0.4</f>
        <v>34000</v>
      </c>
      <c r="E27" s="35" t="s">
        <v>204</v>
      </c>
      <c r="F27" s="37" t="s">
        <v>205</v>
      </c>
    </row>
    <row r="28" customFormat="false" ht="15" hidden="false" customHeight="true" outlineLevel="0" collapsed="false">
      <c r="A28" s="18" t="s">
        <v>206</v>
      </c>
      <c r="B28" s="21" t="s">
        <v>207</v>
      </c>
      <c r="C28" s="19" t="n">
        <v>50000</v>
      </c>
      <c r="D28" s="25" t="n">
        <f aca="false">C28*0.5</f>
        <v>25000</v>
      </c>
      <c r="E28" s="35" t="s">
        <v>208</v>
      </c>
      <c r="F28" s="37" t="s">
        <v>209</v>
      </c>
    </row>
    <row r="29" customFormat="false" ht="15" hidden="false" customHeight="true" outlineLevel="0" collapsed="false">
      <c r="A29" s="18" t="s">
        <v>210</v>
      </c>
      <c r="B29" s="21" t="s">
        <v>211</v>
      </c>
      <c r="C29" s="19" t="n">
        <v>15000</v>
      </c>
      <c r="D29" s="25" t="n">
        <f aca="false">C29*0.2</f>
        <v>3000</v>
      </c>
      <c r="E29" s="35" t="s">
        <v>204</v>
      </c>
      <c r="F29" s="37" t="s">
        <v>209</v>
      </c>
    </row>
    <row r="31" customFormat="false" ht="15" hidden="false" customHeight="true" outlineLevel="0" collapsed="false">
      <c r="A31" s="41" t="s">
        <v>212</v>
      </c>
      <c r="D31" s="27" t="n">
        <f aca="false">SQRT(D26^2+D27^2+D28^2+D29^2+2*0.5*D26*D28)</f>
        <v>62904.6103238864</v>
      </c>
    </row>
    <row r="33" customFormat="false" ht="15" hidden="false" customHeight="true" outlineLevel="0" collapsed="false">
      <c r="A33" s="36" t="s">
        <v>213</v>
      </c>
      <c r="D33" s="27" t="n">
        <f aca="false">SQRT(D22^2+D31^2+2*0.5*D22*D31)</f>
        <v>85442.9169425322</v>
      </c>
    </row>
  </sheetData>
  <mergeCells count="4">
    <mergeCell ref="A1:F1"/>
    <mergeCell ref="A3:F3"/>
    <mergeCell ref="A13:F1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3C"/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6" min="6" style="1" width="22"/>
  </cols>
  <sheetData>
    <row r="1" customFormat="false" ht="27.75" hidden="false" customHeight="true" outlineLevel="0" collapsed="false">
      <c r="A1" s="15" t="s">
        <v>214</v>
      </c>
      <c r="B1" s="15"/>
      <c r="C1" s="15"/>
      <c r="D1" s="15"/>
      <c r="E1" s="15"/>
      <c r="F1" s="15"/>
    </row>
    <row r="3" customFormat="false" ht="15" hidden="false" customHeight="true" outlineLevel="0" collapsed="false">
      <c r="A3" s="16" t="s">
        <v>215</v>
      </c>
      <c r="B3" s="16"/>
      <c r="C3" s="16"/>
      <c r="D3" s="16"/>
      <c r="E3" s="16"/>
      <c r="F3" s="16"/>
    </row>
    <row r="4" customFormat="false" ht="15" hidden="false" customHeight="true" outlineLevel="0" collapsed="false">
      <c r="A4" s="17" t="s">
        <v>160</v>
      </c>
      <c r="B4" s="17" t="s">
        <v>161</v>
      </c>
      <c r="C4" s="17" t="s">
        <v>197</v>
      </c>
      <c r="D4" s="17" t="s">
        <v>163</v>
      </c>
      <c r="E4" s="17" t="s">
        <v>90</v>
      </c>
      <c r="F4" s="17" t="s">
        <v>164</v>
      </c>
    </row>
    <row r="5" customFormat="false" ht="15" hidden="false" customHeight="true" outlineLevel="0" collapsed="false">
      <c r="A5" s="18" t="s">
        <v>216</v>
      </c>
      <c r="B5" s="21" t="s">
        <v>217</v>
      </c>
      <c r="C5" s="25" t="n">
        <f aca="false">800000*0.45+800000*0.3</f>
        <v>600000</v>
      </c>
      <c r="D5" s="25" t="n">
        <f aca="false">C5*6.5*0.013</f>
        <v>50700</v>
      </c>
      <c r="E5" s="35" t="s">
        <v>218</v>
      </c>
      <c r="F5" s="37" t="s">
        <v>219</v>
      </c>
    </row>
    <row r="6" customFormat="false" ht="15" hidden="false" customHeight="true" outlineLevel="0" collapsed="false">
      <c r="A6" s="18" t="s">
        <v>220</v>
      </c>
      <c r="B6" s="21" t="s">
        <v>221</v>
      </c>
      <c r="C6" s="25" t="n">
        <f aca="false">800000*0.45+800000*0.3</f>
        <v>600000</v>
      </c>
      <c r="D6" s="25" t="n">
        <f aca="false">C6*6.5*0.009</f>
        <v>35100</v>
      </c>
      <c r="E6" s="35" t="s">
        <v>218</v>
      </c>
      <c r="F6" s="37" t="s">
        <v>219</v>
      </c>
    </row>
    <row r="7" customFormat="false" ht="15" hidden="false" customHeight="true" outlineLevel="0" collapsed="false">
      <c r="A7" s="18" t="s">
        <v>222</v>
      </c>
      <c r="B7" s="21" t="s">
        <v>223</v>
      </c>
      <c r="C7" s="25" t="n">
        <f aca="false">800000*0.1</f>
        <v>80000</v>
      </c>
      <c r="D7" s="25" t="n">
        <f aca="false">C7*0.39</f>
        <v>31200</v>
      </c>
      <c r="E7" s="35" t="s">
        <v>224</v>
      </c>
      <c r="F7" s="37" t="s">
        <v>225</v>
      </c>
    </row>
    <row r="8" customFormat="false" ht="15" hidden="false" customHeight="true" outlineLevel="0" collapsed="false">
      <c r="A8" s="18" t="s">
        <v>226</v>
      </c>
      <c r="B8" s="21" t="s">
        <v>227</v>
      </c>
      <c r="C8" s="25" t="n">
        <f aca="false">800000*0.05</f>
        <v>40000</v>
      </c>
      <c r="D8" s="25" t="n">
        <f aca="false">C8*0.49</f>
        <v>19600</v>
      </c>
      <c r="E8" s="35" t="s">
        <v>228</v>
      </c>
      <c r="F8" s="37" t="s">
        <v>225</v>
      </c>
    </row>
    <row r="9" customFormat="false" ht="15" hidden="false" customHeight="true" outlineLevel="0" collapsed="false">
      <c r="A9" s="18" t="s">
        <v>229</v>
      </c>
      <c r="B9" s="21" t="s">
        <v>230</v>
      </c>
      <c r="C9" s="25" t="n">
        <f aca="false">800000*0.08</f>
        <v>64000</v>
      </c>
      <c r="D9" s="25" t="n">
        <f aca="false">C9*0.25</f>
        <v>16000</v>
      </c>
      <c r="E9" s="35" t="s">
        <v>231</v>
      </c>
      <c r="F9" s="37" t="s">
        <v>232</v>
      </c>
    </row>
    <row r="10" customFormat="false" ht="15" hidden="false" customHeight="true" outlineLevel="0" collapsed="false">
      <c r="A10" s="18" t="s">
        <v>233</v>
      </c>
      <c r="B10" s="21" t="s">
        <v>234</v>
      </c>
      <c r="C10" s="25" t="n">
        <f aca="false">800000*0.3</f>
        <v>240000</v>
      </c>
      <c r="D10" s="25" t="n">
        <f aca="false">C10*6.5*0.003</f>
        <v>4680</v>
      </c>
      <c r="E10" s="35" t="s">
        <v>235</v>
      </c>
      <c r="F10" s="37" t="s">
        <v>236</v>
      </c>
    </row>
    <row r="11" customFormat="false" ht="15" hidden="false" customHeight="true" outlineLevel="0" collapsed="false">
      <c r="A11" s="18" t="s">
        <v>237</v>
      </c>
      <c r="B11" s="21" t="s">
        <v>230</v>
      </c>
      <c r="C11" s="25" t="n">
        <f aca="false">800000*0.05</f>
        <v>40000</v>
      </c>
      <c r="D11" s="25" t="n">
        <f aca="false">C11*0.25</f>
        <v>10000</v>
      </c>
      <c r="E11" s="35" t="s">
        <v>238</v>
      </c>
      <c r="F11" s="37" t="s">
        <v>239</v>
      </c>
    </row>
    <row r="12" customFormat="false" ht="15" hidden="false" customHeight="true" outlineLevel="0" collapsed="false">
      <c r="A12" s="18" t="s">
        <v>240</v>
      </c>
      <c r="B12" s="21" t="s">
        <v>241</v>
      </c>
      <c r="C12" s="25" t="n">
        <f aca="false">800000*0.1</f>
        <v>80000</v>
      </c>
      <c r="D12" s="25" t="n">
        <f aca="false">C12*0.12</f>
        <v>9600</v>
      </c>
      <c r="E12" s="35" t="s">
        <v>242</v>
      </c>
      <c r="F12" s="37" t="s">
        <v>243</v>
      </c>
    </row>
    <row r="13" customFormat="false" ht="15" hidden="false" customHeight="true" outlineLevel="0" collapsed="false">
      <c r="A13" s="18" t="s">
        <v>244</v>
      </c>
      <c r="B13" s="21" t="s">
        <v>245</v>
      </c>
      <c r="C13" s="25" t="n">
        <f aca="false">100000</f>
        <v>100000</v>
      </c>
      <c r="D13" s="25" t="n">
        <f aca="false">C13*0.05</f>
        <v>5000</v>
      </c>
      <c r="E13" s="35" t="s">
        <v>246</v>
      </c>
      <c r="F13" s="37" t="s">
        <v>247</v>
      </c>
    </row>
    <row r="15" customFormat="false" ht="15" hidden="false" customHeight="true" outlineLevel="0" collapsed="false">
      <c r="A15" s="41" t="s">
        <v>248</v>
      </c>
      <c r="D15" s="25" t="n">
        <f aca="false">MAX(D5,D6)</f>
        <v>50700</v>
      </c>
    </row>
    <row r="17" customFormat="false" ht="15" hidden="false" customHeight="true" outlineLevel="0" collapsed="false">
      <c r="A17" s="16" t="s">
        <v>249</v>
      </c>
      <c r="B17" s="16"/>
      <c r="C17" s="16"/>
      <c r="D17" s="16"/>
      <c r="E17" s="16"/>
      <c r="F17" s="16"/>
    </row>
    <row r="18" customFormat="false" ht="15" hidden="false" customHeight="true" outlineLevel="0" collapsed="false">
      <c r="B18" s="17" t="s">
        <v>250</v>
      </c>
      <c r="C18" s="17" t="s">
        <v>251</v>
      </c>
      <c r="D18" s="17" t="s">
        <v>231</v>
      </c>
      <c r="E18" s="17" t="s">
        <v>252</v>
      </c>
      <c r="F18" s="17" t="s">
        <v>253</v>
      </c>
      <c r="G18" s="17" t="s">
        <v>254</v>
      </c>
    </row>
    <row r="19" customFormat="false" ht="15" hidden="false" customHeight="true" outlineLevel="0" collapsed="false">
      <c r="A19" s="38" t="s">
        <v>250</v>
      </c>
      <c r="B19" s="39" t="n">
        <v>1</v>
      </c>
      <c r="C19" s="40" t="n">
        <v>0</v>
      </c>
      <c r="D19" s="40" t="n">
        <v>0</v>
      </c>
      <c r="E19" s="40" t="n">
        <v>0.25</v>
      </c>
      <c r="F19" s="40" t="n">
        <v>0.25</v>
      </c>
      <c r="G19" s="40" t="n">
        <v>0</v>
      </c>
    </row>
    <row r="20" customFormat="false" ht="15" hidden="false" customHeight="true" outlineLevel="0" collapsed="false">
      <c r="A20" s="38" t="s">
        <v>251</v>
      </c>
      <c r="B20" s="40" t="n">
        <v>0</v>
      </c>
      <c r="C20" s="39" t="n">
        <v>1</v>
      </c>
      <c r="D20" s="40" t="n">
        <v>0.75</v>
      </c>
      <c r="E20" s="40" t="n">
        <v>0.75</v>
      </c>
      <c r="F20" s="40" t="n">
        <v>0.25</v>
      </c>
      <c r="G20" s="40" t="n">
        <v>0</v>
      </c>
    </row>
    <row r="21" customFormat="false" ht="15" hidden="false" customHeight="true" outlineLevel="0" collapsed="false">
      <c r="A21" s="38" t="s">
        <v>231</v>
      </c>
      <c r="B21" s="40" t="n">
        <v>0</v>
      </c>
      <c r="C21" s="40" t="n">
        <v>0.75</v>
      </c>
      <c r="D21" s="39" t="n">
        <v>1</v>
      </c>
      <c r="E21" s="40" t="n">
        <v>0.5</v>
      </c>
      <c r="F21" s="40" t="n">
        <v>0.25</v>
      </c>
      <c r="G21" s="40" t="n">
        <v>0</v>
      </c>
    </row>
    <row r="22" customFormat="false" ht="15" hidden="false" customHeight="true" outlineLevel="0" collapsed="false">
      <c r="A22" s="38" t="s">
        <v>252</v>
      </c>
      <c r="B22" s="40" t="n">
        <v>0.25</v>
      </c>
      <c r="C22" s="40" t="n">
        <v>0.75</v>
      </c>
      <c r="D22" s="40" t="n">
        <v>0.5</v>
      </c>
      <c r="E22" s="39" t="n">
        <v>1</v>
      </c>
      <c r="F22" s="40" t="n">
        <v>0.25</v>
      </c>
      <c r="G22" s="40" t="n">
        <v>0</v>
      </c>
    </row>
    <row r="23" customFormat="false" ht="15" hidden="false" customHeight="true" outlineLevel="0" collapsed="false">
      <c r="A23" s="38" t="s">
        <v>253</v>
      </c>
      <c r="B23" s="40" t="n">
        <v>0.25</v>
      </c>
      <c r="C23" s="40" t="n">
        <v>0.25</v>
      </c>
      <c r="D23" s="40" t="n">
        <v>0.25</v>
      </c>
      <c r="E23" s="40" t="n">
        <v>0.25</v>
      </c>
      <c r="F23" s="39" t="n">
        <v>1</v>
      </c>
      <c r="G23" s="40" t="n">
        <v>0</v>
      </c>
    </row>
    <row r="24" customFormat="false" ht="15" hidden="false" customHeight="true" outlineLevel="0" collapsed="false">
      <c r="A24" s="38" t="s">
        <v>254</v>
      </c>
      <c r="B24" s="40" t="n">
        <v>0</v>
      </c>
      <c r="C24" s="40" t="n">
        <v>0</v>
      </c>
      <c r="D24" s="40" t="n">
        <v>0</v>
      </c>
      <c r="E24" s="40" t="n">
        <v>0</v>
      </c>
      <c r="F24" s="40" t="n">
        <v>0</v>
      </c>
      <c r="G24" s="39" t="n">
        <v>1</v>
      </c>
    </row>
    <row r="26" customFormat="false" ht="15" hidden="false" customHeight="true" outlineLevel="0" collapsed="false">
      <c r="A26" s="36" t="s">
        <v>255</v>
      </c>
      <c r="D26" s="27" t="n">
        <f aca="false">SQRT(D15^2+D7^2+D8^2+D9^2+D10^2+D11^2+D12^2+2*0.75*D7*D9+2*0.75*D7*D10+2*0.5*D9*D10+2*0.25*D15*D10+2*0.25*D15*D11)</f>
        <v>76242.9957438715</v>
      </c>
    </row>
  </sheetData>
  <mergeCells count="3">
    <mergeCell ref="A1:F1"/>
    <mergeCell ref="A3:F3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3C"/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6"/>
    <col collapsed="false" customWidth="true" hidden="false" outlineLevel="0" max="5" min="5" style="1" width="18"/>
    <col collapsed="false" customWidth="true" hidden="false" outlineLevel="0" max="6" min="6" style="1" width="22"/>
  </cols>
  <sheetData>
    <row r="1" customFormat="false" ht="27.75" hidden="false" customHeight="true" outlineLevel="0" collapsed="false">
      <c r="A1" s="15" t="s">
        <v>256</v>
      </c>
      <c r="B1" s="15"/>
      <c r="C1" s="15"/>
      <c r="D1" s="15"/>
      <c r="E1" s="15"/>
      <c r="F1" s="15"/>
    </row>
    <row r="3" customFormat="false" ht="15" hidden="false" customHeight="true" outlineLevel="0" collapsed="false">
      <c r="A3" s="16" t="s">
        <v>257</v>
      </c>
      <c r="B3" s="16"/>
      <c r="C3" s="16"/>
      <c r="D3" s="16"/>
      <c r="E3" s="16"/>
      <c r="F3" s="16"/>
    </row>
    <row r="4" customFormat="false" ht="15" hidden="false" customHeight="true" outlineLevel="0" collapsed="false">
      <c r="A4" s="17" t="s">
        <v>258</v>
      </c>
      <c r="B4" s="17" t="s">
        <v>259</v>
      </c>
      <c r="C4" s="17" t="s">
        <v>197</v>
      </c>
      <c r="D4" s="17" t="s">
        <v>260</v>
      </c>
      <c r="E4" s="17" t="s">
        <v>261</v>
      </c>
      <c r="F4" s="17" t="s">
        <v>163</v>
      </c>
    </row>
    <row r="5" customFormat="false" ht="15" hidden="false" customHeight="true" outlineLevel="0" collapsed="false">
      <c r="A5" s="18" t="s">
        <v>262</v>
      </c>
      <c r="B5" s="20" t="s">
        <v>263</v>
      </c>
      <c r="C5" s="19" t="n">
        <v>35000</v>
      </c>
      <c r="D5" s="25" t="n">
        <f aca="false">C5*0.5</f>
        <v>17500</v>
      </c>
      <c r="E5" s="42" t="n">
        <v>0.001</v>
      </c>
      <c r="F5" s="25" t="n">
        <f aca="false">D5*E5^0.5*3</f>
        <v>1660.1957715884</v>
      </c>
    </row>
    <row r="6" customFormat="false" ht="15" hidden="false" customHeight="true" outlineLevel="0" collapsed="false">
      <c r="A6" s="18" t="s">
        <v>264</v>
      </c>
      <c r="B6" s="20" t="s">
        <v>263</v>
      </c>
      <c r="C6" s="19" t="n">
        <v>28000</v>
      </c>
      <c r="D6" s="25" t="n">
        <f aca="false">C6*0.5</f>
        <v>14000</v>
      </c>
      <c r="E6" s="42" t="n">
        <v>0.001</v>
      </c>
      <c r="F6" s="25" t="n">
        <f aca="false">D6*E6^0.5*3</f>
        <v>1328.15661727072</v>
      </c>
    </row>
    <row r="7" customFormat="false" ht="15" hidden="false" customHeight="true" outlineLevel="0" collapsed="false">
      <c r="A7" s="18" t="s">
        <v>265</v>
      </c>
      <c r="B7" s="20" t="s">
        <v>266</v>
      </c>
      <c r="C7" s="19" t="n">
        <v>18000</v>
      </c>
      <c r="D7" s="25" t="n">
        <f aca="false">C7*0.5</f>
        <v>9000</v>
      </c>
      <c r="E7" s="42" t="n">
        <v>0.002</v>
      </c>
      <c r="F7" s="25" t="n">
        <f aca="false">D7*E7^0.5*3</f>
        <v>1207.47670784989</v>
      </c>
    </row>
    <row r="8" customFormat="false" ht="15" hidden="false" customHeight="true" outlineLevel="0" collapsed="false">
      <c r="A8" s="18" t="s">
        <v>267</v>
      </c>
      <c r="B8" s="20" t="s">
        <v>268</v>
      </c>
      <c r="C8" s="19" t="n">
        <v>12000</v>
      </c>
      <c r="D8" s="25" t="n">
        <f aca="false">C8*0.5</f>
        <v>6000</v>
      </c>
      <c r="E8" s="42" t="n">
        <v>0.005</v>
      </c>
      <c r="F8" s="25" t="n">
        <f aca="false">D8*E8^0.5*3</f>
        <v>1272.79220613579</v>
      </c>
    </row>
    <row r="9" customFormat="false" ht="15" hidden="false" customHeight="true" outlineLevel="0" collapsed="false">
      <c r="A9" s="18" t="s">
        <v>269</v>
      </c>
      <c r="B9" s="20" t="s">
        <v>268</v>
      </c>
      <c r="C9" s="19" t="n">
        <v>8000</v>
      </c>
      <c r="D9" s="25" t="n">
        <f aca="false">C9*0.5</f>
        <v>4000</v>
      </c>
      <c r="E9" s="42" t="n">
        <v>0.005</v>
      </c>
      <c r="F9" s="25" t="n">
        <f aca="false">D9*E9^0.5*3</f>
        <v>848.528137423857</v>
      </c>
    </row>
    <row r="10" customFormat="false" ht="15" hidden="false" customHeight="true" outlineLevel="0" collapsed="false">
      <c r="A10" s="43" t="s">
        <v>270</v>
      </c>
      <c r="F10" s="26" t="n">
        <f aca="false">SQRT(SUM(F5:F9)^2*1)</f>
        <v>6317.14944026865</v>
      </c>
    </row>
    <row r="12" customFormat="false" ht="15" hidden="false" customHeight="true" outlineLevel="0" collapsed="false">
      <c r="A12" s="16" t="s">
        <v>271</v>
      </c>
      <c r="B12" s="16"/>
      <c r="C12" s="16"/>
      <c r="D12" s="16"/>
      <c r="E12" s="16"/>
      <c r="F12" s="16"/>
    </row>
    <row r="13" customFormat="false" ht="15" hidden="false" customHeight="true" outlineLevel="0" collapsed="false">
      <c r="A13" s="17" t="s">
        <v>272</v>
      </c>
      <c r="B13" s="17" t="s">
        <v>273</v>
      </c>
      <c r="C13" s="17" t="s">
        <v>142</v>
      </c>
      <c r="D13" s="17" t="s">
        <v>274</v>
      </c>
      <c r="E13" s="17" t="s">
        <v>163</v>
      </c>
      <c r="F13" s="17" t="s">
        <v>90</v>
      </c>
    </row>
    <row r="14" customFormat="false" ht="15" hidden="false" customHeight="true" outlineLevel="0" collapsed="false">
      <c r="A14" s="18" t="s">
        <v>275</v>
      </c>
      <c r="B14" s="20" t="s">
        <v>276</v>
      </c>
      <c r="C14" s="19" t="n">
        <v>18000</v>
      </c>
      <c r="D14" s="22" t="n">
        <v>0</v>
      </c>
      <c r="E14" s="25" t="n">
        <f aca="false">C14*D14</f>
        <v>0</v>
      </c>
      <c r="F14" s="35" t="s">
        <v>277</v>
      </c>
    </row>
    <row r="15" customFormat="false" ht="15" hidden="false" customHeight="true" outlineLevel="0" collapsed="false">
      <c r="A15" s="18" t="s">
        <v>278</v>
      </c>
      <c r="B15" s="20" t="s">
        <v>279</v>
      </c>
      <c r="C15" s="19" t="n">
        <v>5000</v>
      </c>
      <c r="D15" s="22" t="n">
        <v>0.9</v>
      </c>
      <c r="E15" s="25" t="n">
        <f aca="false">C15*D15</f>
        <v>4500</v>
      </c>
      <c r="F15" s="35" t="s">
        <v>280</v>
      </c>
    </row>
    <row r="16" customFormat="false" ht="15" hidden="false" customHeight="true" outlineLevel="0" collapsed="false">
      <c r="A16" s="18" t="s">
        <v>281</v>
      </c>
      <c r="B16" s="20" t="s">
        <v>282</v>
      </c>
      <c r="C16" s="19" t="n">
        <v>3500</v>
      </c>
      <c r="D16" s="22" t="n">
        <v>0.15</v>
      </c>
      <c r="E16" s="25" t="n">
        <f aca="false">C16*D16</f>
        <v>525</v>
      </c>
      <c r="F16" s="35" t="s">
        <v>277</v>
      </c>
    </row>
    <row r="17" customFormat="false" ht="15" hidden="false" customHeight="true" outlineLevel="0" collapsed="false">
      <c r="A17" s="18" t="s">
        <v>283</v>
      </c>
      <c r="B17" s="20" t="s">
        <v>282</v>
      </c>
      <c r="C17" s="19" t="n">
        <v>2000</v>
      </c>
      <c r="D17" s="22" t="n">
        <v>0.15</v>
      </c>
      <c r="E17" s="25" t="n">
        <f aca="false">C17*D17</f>
        <v>300</v>
      </c>
      <c r="F17" s="35" t="s">
        <v>277</v>
      </c>
    </row>
    <row r="18" customFormat="false" ht="15" hidden="false" customHeight="true" outlineLevel="0" collapsed="false">
      <c r="A18" s="43" t="s">
        <v>284</v>
      </c>
      <c r="E18" s="26" t="n">
        <f aca="false">SUM(E14:E17)</f>
        <v>5325</v>
      </c>
    </row>
    <row r="20" customFormat="false" ht="15" hidden="false" customHeight="true" outlineLevel="0" collapsed="false">
      <c r="A20" s="36" t="s">
        <v>285</v>
      </c>
      <c r="F20" s="27" t="n">
        <f aca="false">SQRT(F10^2+E18^2+2*0.5*F10*E18)</f>
        <v>10094.5937422027</v>
      </c>
    </row>
  </sheetData>
  <mergeCells count="3">
    <mergeCell ref="A1:F1"/>
    <mergeCell ref="A3:F3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3C"/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2" style="1" width="20"/>
  </cols>
  <sheetData>
    <row r="1" customFormat="false" ht="27.75" hidden="false" customHeight="true" outlineLevel="0" collapsed="false">
      <c r="A1" s="15" t="s">
        <v>286</v>
      </c>
      <c r="B1" s="15"/>
      <c r="C1" s="15"/>
      <c r="D1" s="15"/>
    </row>
    <row r="3" customFormat="false" ht="15" hidden="false" customHeight="true" outlineLevel="0" collapsed="false">
      <c r="A3" s="16" t="s">
        <v>287</v>
      </c>
      <c r="B3" s="16"/>
      <c r="C3" s="16"/>
      <c r="D3" s="16"/>
    </row>
    <row r="4" customFormat="false" ht="15" hidden="false" customHeight="true" outlineLevel="0" collapsed="false">
      <c r="A4" s="17" t="s">
        <v>288</v>
      </c>
      <c r="B4" s="17" t="s">
        <v>289</v>
      </c>
      <c r="C4" s="17" t="s">
        <v>290</v>
      </c>
      <c r="D4" s="17" t="s">
        <v>164</v>
      </c>
    </row>
    <row r="5" customFormat="false" ht="15" hidden="false" customHeight="true" outlineLevel="0" collapsed="false">
      <c r="A5" s="18" t="s">
        <v>291</v>
      </c>
      <c r="B5" s="21" t="n">
        <v>243000</v>
      </c>
      <c r="C5" s="25" t="n">
        <v>243000</v>
      </c>
      <c r="D5" s="37"/>
    </row>
    <row r="6" customFormat="false" ht="15" hidden="false" customHeight="true" outlineLevel="0" collapsed="false">
      <c r="A6" s="18" t="s">
        <v>292</v>
      </c>
      <c r="B6" s="21" t="n">
        <v>125000</v>
      </c>
      <c r="C6" s="25" t="n">
        <v>125000</v>
      </c>
      <c r="D6" s="37"/>
    </row>
    <row r="7" customFormat="false" ht="15" hidden="false" customHeight="true" outlineLevel="0" collapsed="false">
      <c r="A7" s="18" t="s">
        <v>293</v>
      </c>
      <c r="B7" s="21" t="n">
        <v>480000</v>
      </c>
      <c r="C7" s="25" t="n">
        <v>480000</v>
      </c>
      <c r="D7" s="37" t="s">
        <v>294</v>
      </c>
    </row>
    <row r="8" customFormat="false" ht="15" hidden="false" customHeight="true" outlineLevel="0" collapsed="false">
      <c r="A8" s="18" t="s">
        <v>295</v>
      </c>
      <c r="B8" s="44" t="n">
        <f aca="false">Underwriting!F5</f>
        <v>500000</v>
      </c>
      <c r="C8" s="25" t="n">
        <f aca="false">Underwriting!F5</f>
        <v>500000</v>
      </c>
      <c r="D8" s="37" t="s">
        <v>294</v>
      </c>
    </row>
    <row r="9" customFormat="false" ht="15" hidden="false" customHeight="true" outlineLevel="0" collapsed="false">
      <c r="A9" s="18" t="s">
        <v>296</v>
      </c>
      <c r="B9" s="21" t="s">
        <v>297</v>
      </c>
      <c r="C9" s="25" t="n">
        <f aca="false">C5*0.0045</f>
        <v>1093.5</v>
      </c>
      <c r="D9" s="37" t="s">
        <v>298</v>
      </c>
    </row>
    <row r="10" customFormat="false" ht="15" hidden="false" customHeight="true" outlineLevel="0" collapsed="false">
      <c r="A10" s="18" t="s">
        <v>299</v>
      </c>
      <c r="B10" s="21" t="s">
        <v>297</v>
      </c>
      <c r="C10" s="25" t="n">
        <f aca="false">C6*0.0045</f>
        <v>562.5</v>
      </c>
      <c r="D10" s="37" t="s">
        <v>298</v>
      </c>
    </row>
    <row r="11" customFormat="false" ht="15" hidden="false" customHeight="true" outlineLevel="0" collapsed="false">
      <c r="A11" s="18" t="s">
        <v>300</v>
      </c>
      <c r="B11" s="21" t="s">
        <v>301</v>
      </c>
      <c r="C11" s="25" t="n">
        <f aca="false">MAX(C7,C8)*0.03</f>
        <v>15000</v>
      </c>
      <c r="D11" s="37" t="s">
        <v>302</v>
      </c>
    </row>
    <row r="12" customFormat="false" ht="15" hidden="false" customHeight="true" outlineLevel="0" collapsed="false">
      <c r="A12" s="18" t="s">
        <v>303</v>
      </c>
      <c r="B12" s="21" t="s">
        <v>304</v>
      </c>
      <c r="C12" s="25" t="n">
        <f aca="false">C9+C10+C11</f>
        <v>16656</v>
      </c>
      <c r="D12" s="37" t="s">
        <v>305</v>
      </c>
    </row>
    <row r="13" customFormat="false" ht="15" hidden="false" customHeight="true" outlineLevel="0" collapsed="false">
      <c r="A13" s="18" t="s">
        <v>306</v>
      </c>
      <c r="B13" s="21" t="s">
        <v>307</v>
      </c>
      <c r="C13" s="25" t="n">
        <f aca="false">C12*1.3</f>
        <v>21652.8</v>
      </c>
      <c r="D13" s="37" t="s">
        <v>305</v>
      </c>
    </row>
    <row r="14" customFormat="false" ht="15" hidden="false" customHeight="true" outlineLevel="0" collapsed="false">
      <c r="A14" s="18" t="s">
        <v>308</v>
      </c>
      <c r="B14" s="21" t="s">
        <v>309</v>
      </c>
      <c r="C14" s="27" t="n">
        <f aca="false">MIN(C12,C13)</f>
        <v>16656</v>
      </c>
      <c r="D14" s="37" t="s">
        <v>310</v>
      </c>
    </row>
    <row r="17" customFormat="false" ht="15" hidden="false" customHeight="true" outlineLevel="0" collapsed="false">
      <c r="A17" s="16" t="s">
        <v>311</v>
      </c>
      <c r="B17" s="16"/>
      <c r="C17" s="16"/>
      <c r="D17" s="16"/>
    </row>
    <row r="18" customFormat="false" ht="15" hidden="false" customHeight="true" outlineLevel="0" collapsed="false">
      <c r="A18" s="17" t="s">
        <v>312</v>
      </c>
      <c r="B18" s="17" t="s">
        <v>313</v>
      </c>
      <c r="C18" s="17" t="s">
        <v>314</v>
      </c>
    </row>
    <row r="19" customFormat="false" ht="15" hidden="false" customHeight="true" outlineLevel="0" collapsed="false">
      <c r="A19" s="18" t="s">
        <v>315</v>
      </c>
      <c r="B19" s="45" t="s">
        <v>316</v>
      </c>
      <c r="C19" s="35" t="s">
        <v>317</v>
      </c>
    </row>
    <row r="20" customFormat="false" ht="15" hidden="false" customHeight="true" outlineLevel="0" collapsed="false">
      <c r="A20" s="18" t="s">
        <v>318</v>
      </c>
      <c r="B20" s="46" t="s">
        <v>319</v>
      </c>
      <c r="C20" s="35" t="s">
        <v>320</v>
      </c>
    </row>
    <row r="21" customFormat="false" ht="15" hidden="false" customHeight="true" outlineLevel="0" collapsed="false">
      <c r="A21" s="18" t="s">
        <v>321</v>
      </c>
      <c r="B21" s="46" t="s">
        <v>319</v>
      </c>
      <c r="C21" s="35" t="s">
        <v>322</v>
      </c>
    </row>
    <row r="22" customFormat="false" ht="15" hidden="false" customHeight="true" outlineLevel="0" collapsed="false">
      <c r="A22" s="18" t="s">
        <v>323</v>
      </c>
      <c r="B22" s="47" t="s">
        <v>324</v>
      </c>
      <c r="C22" s="35" t="s">
        <v>325</v>
      </c>
    </row>
    <row r="23" customFormat="false" ht="15" hidden="false" customHeight="true" outlineLevel="0" collapsed="false">
      <c r="A23" s="18" t="s">
        <v>326</v>
      </c>
      <c r="B23" s="47" t="s">
        <v>324</v>
      </c>
      <c r="C23" s="35" t="s">
        <v>327</v>
      </c>
    </row>
    <row r="24" customFormat="false" ht="15" hidden="false" customHeight="true" outlineLevel="0" collapsed="false">
      <c r="A24" s="18" t="s">
        <v>328</v>
      </c>
      <c r="B24" s="45" t="s">
        <v>316</v>
      </c>
      <c r="C24" s="35" t="s">
        <v>329</v>
      </c>
    </row>
    <row r="25" customFormat="false" ht="15" hidden="false" customHeight="true" outlineLevel="0" collapsed="false">
      <c r="A25" s="18" t="s">
        <v>330</v>
      </c>
      <c r="B25" s="46" t="s">
        <v>319</v>
      </c>
      <c r="C25" s="35" t="s">
        <v>331</v>
      </c>
    </row>
    <row r="26" customFormat="false" ht="15" hidden="false" customHeight="true" outlineLevel="0" collapsed="false">
      <c r="A26" s="18" t="s">
        <v>332</v>
      </c>
      <c r="B26" s="45" t="s">
        <v>316</v>
      </c>
      <c r="C26" s="35" t="s">
        <v>333</v>
      </c>
    </row>
  </sheetData>
  <mergeCells count="3">
    <mergeCell ref="A1:D1"/>
    <mergeCell ref="A3:D3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3" min="2" style="1" width="20"/>
    <col collapsed="false" customWidth="true" hidden="false" outlineLevel="0" max="4" min="4" style="1" width="22"/>
  </cols>
  <sheetData>
    <row r="1" customFormat="false" ht="27.75" hidden="false" customHeight="true" outlineLevel="0" collapsed="false">
      <c r="A1" s="15" t="s">
        <v>334</v>
      </c>
      <c r="B1" s="15"/>
      <c r="C1" s="15"/>
      <c r="D1" s="15"/>
    </row>
    <row r="2" customFormat="false" ht="15" hidden="false" customHeight="true" outlineLevel="0" collapsed="false">
      <c r="C2" s="28"/>
    </row>
    <row r="3" customFormat="false" ht="15" hidden="false" customHeight="true" outlineLevel="0" collapsed="false">
      <c r="A3" s="17" t="s">
        <v>335</v>
      </c>
      <c r="B3" s="17" t="s">
        <v>336</v>
      </c>
      <c r="C3" s="17" t="s">
        <v>163</v>
      </c>
      <c r="D3" s="17" t="s">
        <v>337</v>
      </c>
    </row>
    <row r="4" customFormat="false" ht="15" hidden="false" customHeight="true" outlineLevel="0" collapsed="false">
      <c r="A4" s="16" t="s">
        <v>338</v>
      </c>
      <c r="B4" s="16"/>
      <c r="C4" s="16"/>
      <c r="D4" s="16"/>
    </row>
    <row r="5" customFormat="false" ht="15" hidden="false" customHeight="true" outlineLevel="0" collapsed="false">
      <c r="A5" s="18" t="s">
        <v>339</v>
      </c>
      <c r="B5" s="48" t="n">
        <f aca="false">'Health UW Risk'!D33</f>
        <v>85442.9169425322</v>
      </c>
    </row>
    <row r="6" customFormat="false" ht="15" hidden="false" customHeight="true" outlineLevel="0" collapsed="false">
      <c r="A6" s="18" t="s">
        <v>340</v>
      </c>
      <c r="B6" s="48" t="n">
        <f aca="false">'Market Risk'!D26</f>
        <v>76242.9957438715</v>
      </c>
    </row>
    <row r="7" customFormat="false" ht="15" hidden="false" customHeight="true" outlineLevel="0" collapsed="false">
      <c r="A7" s="18" t="s">
        <v>341</v>
      </c>
      <c r="B7" s="48" t="n">
        <f aca="false">'Credit Risk'!F20</f>
        <v>10094.5937422027</v>
      </c>
    </row>
    <row r="9" customFormat="false" ht="15" hidden="false" customHeight="true" outlineLevel="0" collapsed="false">
      <c r="A9" s="16" t="s">
        <v>342</v>
      </c>
      <c r="B9" s="16"/>
      <c r="C9" s="16"/>
      <c r="D9" s="16"/>
    </row>
    <row r="10" customFormat="false" ht="15" hidden="false" customHeight="true" outlineLevel="0" collapsed="false">
      <c r="B10" s="17" t="s">
        <v>343</v>
      </c>
      <c r="C10" s="17" t="s">
        <v>344</v>
      </c>
      <c r="D10" s="17" t="s">
        <v>345</v>
      </c>
    </row>
    <row r="11" customFormat="false" ht="15" hidden="false" customHeight="true" outlineLevel="0" collapsed="false">
      <c r="A11" s="38" t="s">
        <v>343</v>
      </c>
      <c r="B11" s="39" t="n">
        <v>1</v>
      </c>
      <c r="C11" s="40" t="n">
        <v>0.25</v>
      </c>
      <c r="D11" s="40" t="n">
        <v>0.25</v>
      </c>
    </row>
    <row r="12" customFormat="false" ht="15" hidden="false" customHeight="true" outlineLevel="0" collapsed="false">
      <c r="A12" s="38" t="s">
        <v>344</v>
      </c>
      <c r="B12" s="40" t="n">
        <v>0.25</v>
      </c>
      <c r="C12" s="39" t="n">
        <v>1</v>
      </c>
      <c r="D12" s="40" t="n">
        <v>0.25</v>
      </c>
    </row>
    <row r="13" customFormat="false" ht="15" hidden="false" customHeight="true" outlineLevel="0" collapsed="false">
      <c r="A13" s="38" t="s">
        <v>345</v>
      </c>
      <c r="B13" s="40" t="n">
        <v>0.25</v>
      </c>
      <c r="C13" s="40" t="n">
        <v>0.25</v>
      </c>
      <c r="D13" s="39" t="n">
        <v>1</v>
      </c>
    </row>
    <row r="15" customFormat="false" ht="15" hidden="false" customHeight="true" outlineLevel="0" collapsed="false">
      <c r="A15" s="16" t="s">
        <v>346</v>
      </c>
      <c r="B15" s="16"/>
      <c r="C15" s="16"/>
      <c r="D15" s="16"/>
    </row>
    <row r="16" customFormat="false" ht="15" hidden="false" customHeight="true" outlineLevel="0" collapsed="false">
      <c r="A16" s="18" t="s">
        <v>347</v>
      </c>
      <c r="C16" s="49" t="n">
        <f aca="false">SQRT(B5^2+B6^2+B7^2+2*0.25*B5*B6+2*0.25*B5*B7+2*0.25*B6*B7)</f>
        <v>131486.410157356</v>
      </c>
    </row>
    <row r="17" customFormat="false" ht="15" hidden="false" customHeight="true" outlineLevel="0" collapsed="false">
      <c r="A17" s="18" t="s">
        <v>339</v>
      </c>
      <c r="B17" s="25" t="n">
        <f aca="false">B5</f>
        <v>85442.9169425322</v>
      </c>
      <c r="D17" s="28" t="n">
        <f aca="false">IF(C16=0,0,B5/C16)</f>
        <v>0.649823178230194</v>
      </c>
    </row>
    <row r="18" customFormat="false" ht="15" hidden="false" customHeight="true" outlineLevel="0" collapsed="false">
      <c r="A18" s="18" t="s">
        <v>340</v>
      </c>
      <c r="B18" s="25" t="n">
        <f aca="false">B6</f>
        <v>76242.9957438715</v>
      </c>
      <c r="D18" s="28" t="n">
        <f aca="false">IF(C16=0,0,B6/C16)</f>
        <v>0.579854569400957</v>
      </c>
    </row>
    <row r="19" customFormat="false" ht="15" hidden="false" customHeight="true" outlineLevel="0" collapsed="false">
      <c r="A19" s="18" t="s">
        <v>341</v>
      </c>
      <c r="B19" s="25" t="n">
        <f aca="false">B7</f>
        <v>10094.5937422027</v>
      </c>
      <c r="D19" s="28" t="n">
        <f aca="false">IF(C16=0,0,B7/C16)</f>
        <v>0.076772905505002</v>
      </c>
    </row>
    <row r="21" customFormat="false" ht="15" hidden="false" customHeight="true" outlineLevel="0" collapsed="false">
      <c r="A21" s="18" t="s">
        <v>348</v>
      </c>
      <c r="C21" s="19" t="n">
        <v>-8000</v>
      </c>
    </row>
    <row r="22" customFormat="false" ht="15" hidden="false" customHeight="true" outlineLevel="0" collapsed="false">
      <c r="A22" s="18" t="s">
        <v>349</v>
      </c>
      <c r="C22" s="19" t="n">
        <v>-4000</v>
      </c>
    </row>
    <row r="24" customFormat="false" ht="15" hidden="false" customHeight="true" outlineLevel="0" collapsed="false">
      <c r="A24" s="43" t="s">
        <v>350</v>
      </c>
      <c r="C24" s="50" t="n">
        <f aca="false">C16+C21+C22</f>
        <v>119486.410157356</v>
      </c>
    </row>
    <row r="26" customFormat="false" ht="15" hidden="false" customHeight="true" outlineLevel="0" collapsed="false">
      <c r="A26" s="18" t="s">
        <v>351</v>
      </c>
      <c r="C26" s="48" t="n">
        <f aca="false">'Op Risk'!C14</f>
        <v>16656</v>
      </c>
    </row>
    <row r="28" customFormat="false" ht="15" hidden="false" customHeight="true" outlineLevel="0" collapsed="false">
      <c r="A28" s="16" t="s">
        <v>352</v>
      </c>
      <c r="B28" s="16"/>
      <c r="C28" s="16"/>
      <c r="D28" s="16"/>
    </row>
    <row r="30" customFormat="false" ht="15" hidden="false" customHeight="true" outlineLevel="0" collapsed="false">
      <c r="A30" s="18" t="s">
        <v>353</v>
      </c>
      <c r="C30" s="25" t="n">
        <f aca="false">C24</f>
        <v>119486.410157356</v>
      </c>
      <c r="D30" s="51" t="n">
        <f aca="false">IF(C33=0,0,C30/C33)</f>
        <v>0.877657520674501</v>
      </c>
    </row>
    <row r="31" customFormat="false" ht="15" hidden="false" customHeight="true" outlineLevel="0" collapsed="false">
      <c r="A31" s="18" t="s">
        <v>354</v>
      </c>
      <c r="C31" s="25" t="n">
        <f aca="false">'Op Risk'!C14</f>
        <v>16656</v>
      </c>
      <c r="D31" s="51" t="n">
        <f aca="false">IF(C33=0,0,C31/C33)</f>
        <v>0.122342479325499</v>
      </c>
    </row>
    <row r="33" customFormat="false" ht="15" hidden="false" customHeight="true" outlineLevel="0" collapsed="false">
      <c r="A33" s="52" t="s">
        <v>355</v>
      </c>
      <c r="C33" s="53" t="n">
        <f aca="false">C24+C26</f>
        <v>136142.410157356</v>
      </c>
    </row>
    <row r="38" customFormat="false" ht="15" hidden="false" customHeight="true" outlineLevel="0" collapsed="false">
      <c r="A38" s="41" t="s">
        <v>356</v>
      </c>
      <c r="C38" s="49" t="n">
        <f aca="false">C33</f>
        <v>136142.410157356</v>
      </c>
    </row>
    <row r="40" customFormat="false" ht="15" hidden="false" customHeight="true" outlineLevel="0" collapsed="false">
      <c r="A40" s="16" t="s">
        <v>357</v>
      </c>
      <c r="B40" s="16"/>
      <c r="C40" s="16"/>
      <c r="D40" s="16"/>
    </row>
    <row r="41" customFormat="false" ht="15" hidden="false" customHeight="true" outlineLevel="0" collapsed="false">
      <c r="A41" s="18" t="s">
        <v>358</v>
      </c>
      <c r="C41" s="49" t="n">
        <f aca="false">C38*0.25</f>
        <v>34035.6025393391</v>
      </c>
    </row>
    <row r="42" customFormat="false" ht="15" hidden="false" customHeight="true" outlineLevel="0" collapsed="false">
      <c r="A42" s="18" t="s">
        <v>359</v>
      </c>
      <c r="C42" s="49" t="n">
        <f aca="false">C38*0.25</f>
        <v>34035.6025393391</v>
      </c>
      <c r="D42" s="54" t="n">
        <f aca="false">C50</f>
        <v>0.190976492703109</v>
      </c>
    </row>
    <row r="43" customFormat="false" ht="15" hidden="false" customHeight="true" outlineLevel="0" collapsed="false">
      <c r="A43" s="18" t="s">
        <v>360</v>
      </c>
      <c r="C43" s="49" t="n">
        <f aca="false">C38*0.45</f>
        <v>61264.0845708103</v>
      </c>
    </row>
    <row r="44" customFormat="false" ht="15" hidden="false" customHeight="true" outlineLevel="0" collapsed="false">
      <c r="A44" s="18" t="s">
        <v>361</v>
      </c>
      <c r="C44" s="55" t="n">
        <f aca="false">MIN(MAX(C41,C42),C43)</f>
        <v>34035.6025393391</v>
      </c>
      <c r="D44" s="54" t="n">
        <f aca="false">C44</f>
        <v>34035.6025393391</v>
      </c>
    </row>
    <row r="46" customFormat="false" ht="15" hidden="false" customHeight="true" outlineLevel="0" collapsed="false">
      <c r="A46" s="16" t="s">
        <v>362</v>
      </c>
      <c r="B46" s="16"/>
      <c r="C46" s="16"/>
      <c r="D46" s="16"/>
    </row>
    <row r="47" customFormat="false" ht="15" hidden="false" customHeight="true" outlineLevel="0" collapsed="false">
      <c r="A47" s="18" t="s">
        <v>363</v>
      </c>
      <c r="C47" s="48" t="n">
        <f aca="false">'Own Funds'!C35</f>
        <v>26000</v>
      </c>
    </row>
    <row r="48" customFormat="false" ht="15" hidden="false" customHeight="true" outlineLevel="0" collapsed="false">
      <c r="A48" s="18" t="s">
        <v>364</v>
      </c>
      <c r="C48" s="48" t="n">
        <f aca="false">'Own Funds'!C31+'Own Funds'!C32</f>
        <v>23400</v>
      </c>
    </row>
    <row r="50" customFormat="false" ht="15" hidden="false" customHeight="true" outlineLevel="0" collapsed="false">
      <c r="A50" s="56" t="s">
        <v>2</v>
      </c>
      <c r="C50" s="57" t="n">
        <f aca="false">IF(C38=0,0,C47/C38)</f>
        <v>0.190976492703109</v>
      </c>
    </row>
    <row r="51" customFormat="false" ht="15" hidden="false" customHeight="true" outlineLevel="0" collapsed="false">
      <c r="A51" s="56" t="s">
        <v>365</v>
      </c>
      <c r="C51" s="58" t="n">
        <f aca="false">IF(C44=0,0,C48/C44)</f>
        <v>0.687515373731192</v>
      </c>
    </row>
  </sheetData>
  <mergeCells count="7">
    <mergeCell ref="A1:D1"/>
    <mergeCell ref="A4:D4"/>
    <mergeCell ref="A9:D9"/>
    <mergeCell ref="A15:D15"/>
    <mergeCell ref="A28:D28"/>
    <mergeCell ref="A40:D40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8"/>
    <col collapsed="false" customWidth="true" hidden="false" outlineLevel="0" max="5" min="5" style="1" width="22"/>
  </cols>
  <sheetData>
    <row r="1" customFormat="false" ht="27.75" hidden="false" customHeight="true" outlineLevel="0" collapsed="false">
      <c r="A1" s="15" t="s">
        <v>366</v>
      </c>
      <c r="B1" s="15"/>
      <c r="C1" s="15"/>
      <c r="D1" s="15"/>
      <c r="E1" s="15"/>
    </row>
    <row r="3" customFormat="false" ht="15" hidden="false" customHeight="true" outlineLevel="0" collapsed="false">
      <c r="A3" s="16" t="s">
        <v>367</v>
      </c>
      <c r="B3" s="16"/>
      <c r="C3" s="16"/>
      <c r="D3" s="16"/>
      <c r="E3" s="16"/>
    </row>
    <row r="4" customFormat="false" ht="15" hidden="false" customHeight="true" outlineLevel="0" collapsed="false">
      <c r="A4" s="17" t="s">
        <v>368</v>
      </c>
      <c r="B4" s="17" t="s">
        <v>369</v>
      </c>
      <c r="C4" s="17" t="s">
        <v>370</v>
      </c>
      <c r="D4" s="17" t="s">
        <v>371</v>
      </c>
      <c r="E4" s="17" t="s">
        <v>372</v>
      </c>
    </row>
    <row r="5" customFormat="false" ht="15" hidden="false" customHeight="true" outlineLevel="0" collapsed="false">
      <c r="A5" s="18" t="s">
        <v>373</v>
      </c>
      <c r="B5" s="25" t="n">
        <f aca="false">'SCR Summary'!C38+0</f>
        <v>136142.410157356</v>
      </c>
      <c r="C5" s="25" t="n">
        <f aca="false">'Own Funds'!C35+(0)</f>
        <v>26000</v>
      </c>
      <c r="D5" s="59" t="n">
        <f aca="false">'SCR Summary'!C42</f>
        <v>34035.6025393391</v>
      </c>
      <c r="E5" s="60" t="s">
        <v>374</v>
      </c>
    </row>
    <row r="6" customFormat="false" ht="15" hidden="false" customHeight="true" outlineLevel="0" collapsed="false">
      <c r="A6" s="18" t="s">
        <v>375</v>
      </c>
      <c r="B6" s="25" t="n">
        <f aca="false">'SCR Summary'!C38+85000</f>
        <v>221142.410157356</v>
      </c>
      <c r="C6" s="25" t="n">
        <f aca="false">'Own Funds'!C35+(-42000)</f>
        <v>-16000</v>
      </c>
      <c r="D6" s="28" t="n">
        <f aca="false">IF(B6=0,0,C6/B6)</f>
        <v>-0.0723515674294</v>
      </c>
      <c r="E6" s="61" t="s">
        <v>376</v>
      </c>
    </row>
    <row r="7" customFormat="false" ht="15" hidden="false" customHeight="true" outlineLevel="0" collapsed="false">
      <c r="A7" s="18" t="s">
        <v>377</v>
      </c>
      <c r="B7" s="25" t="n">
        <f aca="false">'SCR Summary'!C38+35000</f>
        <v>171142.410157356</v>
      </c>
      <c r="C7" s="25" t="n">
        <f aca="false">'Own Funds'!C35+(-30000)</f>
        <v>-4000</v>
      </c>
      <c r="D7" s="28" t="n">
        <f aca="false">IF(B7=0,0,C7/B7)</f>
        <v>-0.0233723481884018</v>
      </c>
      <c r="E7" s="61" t="s">
        <v>376</v>
      </c>
    </row>
    <row r="8" customFormat="false" ht="15" hidden="false" customHeight="true" outlineLevel="0" collapsed="false">
      <c r="A8" s="18" t="s">
        <v>378</v>
      </c>
      <c r="B8" s="25" t="n">
        <f aca="false">'SCR Summary'!C38+28000</f>
        <v>164142.410157356</v>
      </c>
      <c r="C8" s="25" t="n">
        <f aca="false">'Own Funds'!C35+(-18000)</f>
        <v>8000</v>
      </c>
      <c r="D8" s="28" t="n">
        <f aca="false">IF(B8=0,0,C8/B8)</f>
        <v>0.0487381657935371</v>
      </c>
      <c r="E8" s="60" t="s">
        <v>374</v>
      </c>
    </row>
    <row r="9" customFormat="false" ht="15" hidden="false" customHeight="true" outlineLevel="0" collapsed="false">
      <c r="A9" s="18" t="s">
        <v>379</v>
      </c>
      <c r="B9" s="25" t="n">
        <f aca="false">'SCR Summary'!C38+22000</f>
        <v>158142.410157356</v>
      </c>
      <c r="C9" s="25" t="n">
        <f aca="false">'Own Funds'!C35+(-15000)</f>
        <v>11000</v>
      </c>
      <c r="D9" s="28" t="n">
        <f aca="false">IF(B9=0,0,C9/B9)</f>
        <v>0.0695575588424046</v>
      </c>
      <c r="E9" s="60" t="s">
        <v>374</v>
      </c>
    </row>
    <row r="10" customFormat="false" ht="15" hidden="false" customHeight="true" outlineLevel="0" collapsed="false">
      <c r="A10" s="18" t="s">
        <v>380</v>
      </c>
      <c r="B10" s="25" t="n">
        <f aca="false">'SCR Summary'!C38+145000</f>
        <v>281142.410157356</v>
      </c>
      <c r="C10" s="25" t="n">
        <f aca="false">'Own Funds'!C35+(-95000)</f>
        <v>-69000</v>
      </c>
      <c r="D10" s="28" t="n">
        <f aca="false">IF(B10=0,0,C10/B10)</f>
        <v>-0.245427219469949</v>
      </c>
      <c r="E10" s="45" t="s">
        <v>381</v>
      </c>
    </row>
    <row r="11" customFormat="false" ht="15" hidden="false" customHeight="true" outlineLevel="0" collapsed="false">
      <c r="A11" s="18" t="s">
        <v>382</v>
      </c>
      <c r="B11" s="20" t="s">
        <v>383</v>
      </c>
      <c r="C11" s="20" t="s">
        <v>383</v>
      </c>
      <c r="D11" s="20" t="s">
        <v>384</v>
      </c>
      <c r="E11" s="62" t="s">
        <v>385</v>
      </c>
    </row>
    <row r="14" customFormat="false" ht="15" hidden="false" customHeight="true" outlineLevel="0" collapsed="false">
      <c r="A14" s="16" t="s">
        <v>386</v>
      </c>
      <c r="B14" s="16"/>
      <c r="C14" s="16"/>
      <c r="D14" s="16"/>
      <c r="E14" s="16"/>
    </row>
    <row r="15" customFormat="false" ht="15" hidden="false" customHeight="true" outlineLevel="0" collapsed="false">
      <c r="A15" s="17" t="s">
        <v>387</v>
      </c>
      <c r="B15" s="17" t="s">
        <v>388</v>
      </c>
      <c r="C15" s="17" t="s">
        <v>389</v>
      </c>
      <c r="D15" s="17" t="s">
        <v>390</v>
      </c>
      <c r="E15" s="17" t="s">
        <v>391</v>
      </c>
    </row>
    <row r="16" customFormat="false" ht="15" hidden="false" customHeight="true" outlineLevel="0" collapsed="false">
      <c r="A16" s="18" t="s">
        <v>392</v>
      </c>
      <c r="B16" s="20" t="s">
        <v>393</v>
      </c>
      <c r="C16" s="59" t="n">
        <f aca="false">'SCR Summary'!C42</f>
        <v>34035.6025393391</v>
      </c>
      <c r="D16" s="25" t="str">
        <f aca="false">IF('SCR Summary'!C42&lt;VALUE(LEFT("160%",LEN("160%")-1))/100,"⚠ TRIGGERED","✓ OK")</f>
        <v>✓ OK</v>
      </c>
      <c r="E16" s="35" t="s">
        <v>394</v>
      </c>
    </row>
    <row r="17" customFormat="false" ht="15" hidden="false" customHeight="true" outlineLevel="0" collapsed="false">
      <c r="A17" s="18" t="s">
        <v>395</v>
      </c>
      <c r="B17" s="20" t="s">
        <v>384</v>
      </c>
      <c r="C17" s="59" t="n">
        <f aca="false">'SCR Summary'!C42</f>
        <v>34035.6025393391</v>
      </c>
      <c r="D17" s="25" t="str">
        <f aca="false">IF('SCR Summary'!C42&lt;VALUE(LEFT("150%",LEN("150%")-1))/100,"⚠ TRIGGERED","✓ OK")</f>
        <v>✓ OK</v>
      </c>
      <c r="E17" s="35" t="s">
        <v>396</v>
      </c>
    </row>
    <row r="18" customFormat="false" ht="15" hidden="false" customHeight="true" outlineLevel="0" collapsed="false">
      <c r="A18" s="18" t="s">
        <v>397</v>
      </c>
      <c r="B18" s="20" t="s">
        <v>398</v>
      </c>
      <c r="C18" s="59" t="n">
        <f aca="false">'SCR Summary'!C42</f>
        <v>34035.6025393391</v>
      </c>
      <c r="D18" s="25" t="str">
        <f aca="false">IF('SCR Summary'!C42&lt;VALUE(LEFT("140%",LEN("140%")-1))/100,"⚠ TRIGGERED","✓ OK")</f>
        <v>✓ OK</v>
      </c>
      <c r="E18" s="35" t="s">
        <v>399</v>
      </c>
    </row>
    <row r="19" customFormat="false" ht="15" hidden="false" customHeight="true" outlineLevel="0" collapsed="false">
      <c r="A19" s="18" t="s">
        <v>400</v>
      </c>
      <c r="B19" s="20" t="s">
        <v>401</v>
      </c>
      <c r="C19" s="59" t="n">
        <f aca="false">'SCR Summary'!C42</f>
        <v>34035.6025393391</v>
      </c>
      <c r="D19" s="25" t="str">
        <f aca="false">IF('SCR Summary'!C42&lt;VALUE(LEFT("130%",LEN("130%")-1))/100,"⚠ TRIGGERED","✓ OK")</f>
        <v>✓ OK</v>
      </c>
      <c r="E19" s="35" t="s">
        <v>402</v>
      </c>
    </row>
    <row r="20" customFormat="false" ht="15" hidden="false" customHeight="true" outlineLevel="0" collapsed="false">
      <c r="A20" s="18" t="s">
        <v>403</v>
      </c>
      <c r="B20" s="20" t="s">
        <v>404</v>
      </c>
      <c r="C20" s="59" t="n">
        <f aca="false">'SCR Summary'!C42</f>
        <v>34035.6025393391</v>
      </c>
      <c r="D20" s="25" t="str">
        <f aca="false">IF('SCR Summary'!C42&lt;VALUE(LEFT("110%",LEN("110%")-1))/100,"⚠ TRIGGERED","✓ OK")</f>
        <v>✓ OK</v>
      </c>
      <c r="E20" s="35" t="s">
        <v>405</v>
      </c>
    </row>
    <row r="23" customFormat="false" ht="15" hidden="false" customHeight="true" outlineLevel="0" collapsed="false">
      <c r="A23" s="16" t="s">
        <v>406</v>
      </c>
      <c r="B23" s="16"/>
      <c r="C23" s="16"/>
      <c r="D23" s="16"/>
      <c r="E23" s="16"/>
    </row>
    <row r="24" customFormat="false" ht="15" hidden="false" customHeight="true" outlineLevel="0" collapsed="false">
      <c r="A24" s="17" t="s">
        <v>407</v>
      </c>
      <c r="B24" s="17" t="s">
        <v>408</v>
      </c>
      <c r="C24" s="17" t="s">
        <v>409</v>
      </c>
      <c r="D24" s="17" t="s">
        <v>410</v>
      </c>
    </row>
    <row r="25" customFormat="false" ht="15" hidden="false" customHeight="true" outlineLevel="0" collapsed="false">
      <c r="A25" s="18" t="s">
        <v>411</v>
      </c>
      <c r="B25" s="60" t="s">
        <v>412</v>
      </c>
      <c r="C25" s="20" t="s">
        <v>413</v>
      </c>
      <c r="D25" s="35" t="s">
        <v>414</v>
      </c>
    </row>
    <row r="26" customFormat="false" ht="15" hidden="false" customHeight="true" outlineLevel="0" collapsed="false">
      <c r="A26" s="18" t="s">
        <v>415</v>
      </c>
      <c r="B26" s="60" t="s">
        <v>412</v>
      </c>
      <c r="C26" s="20" t="s">
        <v>416</v>
      </c>
      <c r="D26" s="35" t="s">
        <v>394</v>
      </c>
    </row>
    <row r="27" customFormat="false" ht="15" hidden="false" customHeight="true" outlineLevel="0" collapsed="false">
      <c r="A27" s="18" t="s">
        <v>417</v>
      </c>
      <c r="B27" s="60" t="s">
        <v>412</v>
      </c>
      <c r="C27" s="20" t="s">
        <v>413</v>
      </c>
      <c r="D27" s="35" t="s">
        <v>418</v>
      </c>
    </row>
    <row r="28" customFormat="false" ht="15" hidden="false" customHeight="true" outlineLevel="0" collapsed="false">
      <c r="A28" s="18" t="s">
        <v>419</v>
      </c>
      <c r="B28" s="60" t="s">
        <v>412</v>
      </c>
      <c r="C28" s="20" t="s">
        <v>413</v>
      </c>
      <c r="D28" s="35" t="s">
        <v>420</v>
      </c>
    </row>
    <row r="29" customFormat="false" ht="15" hidden="false" customHeight="true" outlineLevel="0" collapsed="false">
      <c r="A29" s="18" t="s">
        <v>421</v>
      </c>
      <c r="B29" s="60" t="s">
        <v>412</v>
      </c>
      <c r="C29" s="20" t="s">
        <v>422</v>
      </c>
      <c r="D29" s="35" t="s">
        <v>423</v>
      </c>
    </row>
    <row r="30" customFormat="false" ht="15" hidden="false" customHeight="true" outlineLevel="0" collapsed="false">
      <c r="A30" s="18" t="s">
        <v>424</v>
      </c>
      <c r="B30" s="61" t="s">
        <v>425</v>
      </c>
      <c r="C30" s="20" t="s">
        <v>413</v>
      </c>
      <c r="D30" s="35" t="s">
        <v>396</v>
      </c>
    </row>
    <row r="31" customFormat="false" ht="15" hidden="false" customHeight="true" outlineLevel="0" collapsed="false">
      <c r="A31" s="18" t="s">
        <v>426</v>
      </c>
      <c r="B31" s="61" t="s">
        <v>425</v>
      </c>
      <c r="C31" s="20" t="s">
        <v>413</v>
      </c>
      <c r="D31" s="35" t="s">
        <v>414</v>
      </c>
    </row>
  </sheetData>
  <mergeCells count="4">
    <mergeCell ref="A1:E1"/>
    <mergeCell ref="A3:E3"/>
    <mergeCell ref="A14:E14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2026-04-14T14:56:21Z</dcterms:created>
  <dc:creator>openpyxl</dc:creator>
  <dc:description/>
  <dc:language>en-US</dc:language>
  <cp:lastModifiedBy/>
  <dcterms:modified xsi:type="dcterms:W3CDTF">2026-04-14T14:57:03Z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