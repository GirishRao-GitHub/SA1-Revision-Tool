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1_Profit_Test" sheetId="2" state="visible" r:id="rId4"/>
    <sheet name="2_Reserving" sheetId="3" state="visible" r:id="rId5"/>
    <sheet name="3_Embedded_Value" sheetId="4" state="visible" r:id="rId6"/>
    <sheet name="4_Capital_Requirements" sheetId="5" state="visible" r:id="rId7"/>
    <sheet name="5_Analysis_of_Surplus" sheetId="6" state="visible" r:id="rId8"/>
    <sheet name="6_ALM_Investment" sheetId="7" state="visible" r:id="rId9"/>
    <sheet name="7_Options_Guarantees" sheetId="8" state="visible" r:id="rId10"/>
    <sheet name="8_Reinsurance" sheetId="9" state="visible" r:id="rId11"/>
    <sheet name="9_Sensitivity"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<sst xmlns="http://schemas.openxmlformats.org/spreadsheetml/2006/main" count="394" uniqueCount="334">
  <si>
    <t xml:space="preserve">SA1 — Health &amp; Care Insurance  |  Actuarial Model Suite</t>
  </si>
  <si>
    <t xml:space="preserve">Source: SP1 / SA1 course notes (Chapter 11 onwards)  |  Blue cells = inputs you can change  |  Black cells = formulas</t>
  </si>
  <si>
    <t xml:space="preserve">Tab</t>
  </si>
  <si>
    <t xml:space="preserve">Model Use</t>
  </si>
  <si>
    <t xml:space="preserve">Model Type</t>
  </si>
  <si>
    <t xml:space="preserve">Key Output</t>
  </si>
  <si>
    <t xml:space="preserve">1</t>
  </si>
  <si>
    <t xml:space="preserve">Pricing / Profit Test</t>
  </si>
  <si>
    <t xml:space="preserve">Type 1 — Single Policy Profit Test</t>
  </si>
  <si>
    <t xml:space="preserve">NPV, IRR, Return on Capital</t>
  </si>
  <si>
    <t xml:space="preserve">2</t>
  </si>
  <si>
    <t xml:space="preserve">Setting Reserves</t>
  </si>
  <si>
    <t xml:space="preserve">Type 3 — Existing Business Model</t>
  </si>
  <si>
    <t xml:space="preserve">Gross Premium Reserve</t>
  </si>
  <si>
    <t xml:space="preserve">3</t>
  </si>
  <si>
    <t xml:space="preserve">Embedded Value</t>
  </si>
  <si>
    <t xml:space="preserve">VIF, EV, VNB</t>
  </si>
  <si>
    <t xml:space="preserve">4</t>
  </si>
  <si>
    <t xml:space="preserve">Capital Requirements</t>
  </si>
  <si>
    <t xml:space="preserve">Type 4 — Full Model Office</t>
  </si>
  <si>
    <t xml:space="preserve">New Business Strain, SCR</t>
  </si>
  <si>
    <t xml:space="preserve">5</t>
  </si>
  <si>
    <t xml:space="preserve">Analysis of Surplus</t>
  </si>
  <si>
    <t xml:space="preserve">Surplus by Source</t>
  </si>
  <si>
    <t xml:space="preserve">6</t>
  </si>
  <si>
    <t xml:space="preserve">Investment Strategy (ALM)</t>
  </si>
  <si>
    <t xml:space="preserve">Type 4 — Full Model Office (Stochastic)</t>
  </si>
  <si>
    <t xml:space="preserve">Asset/Liability Surplus</t>
  </si>
  <si>
    <t xml:space="preserve">7</t>
  </si>
  <si>
    <t xml:space="preserve">Options &amp; Guarantees Costing</t>
  </si>
  <si>
    <t xml:space="preserve">Type 1 / Stochastic</t>
  </si>
  <si>
    <t xml:space="preserve">Cost of Option</t>
  </si>
  <si>
    <t xml:space="preserve">8</t>
  </si>
  <si>
    <t xml:space="preserve">Reinsurance Retention</t>
  </si>
  <si>
    <t xml:space="preserve">Type 1 / Type 3</t>
  </si>
  <si>
    <t xml:space="preserve">Optimal Retention, Net Cost</t>
  </si>
  <si>
    <t xml:space="preserve">9</t>
  </si>
  <si>
    <t xml:space="preserve">Sensitivity / Scenario Test</t>
  </si>
  <si>
    <t xml:space="preserve">Tornado Chart Inputs</t>
  </si>
  <si>
    <t xml:space="preserve">HOW TO USE: Each tab is a self-contained model. Change blue cells to see results update. All formulas use cell references — no hardcoded calculations.</t>
  </si>
  <si>
    <t xml:space="preserve">Model Use 1: Pricing — Single Policy Profit Test (Income Protection)</t>
  </si>
  <si>
    <t xml:space="preserve">ASSUMPTIONS  (blue = inputs)</t>
  </si>
  <si>
    <t xml:space="preserve">Enter assumptions below. The profit test projects annual cashflows for one model point (male, age 35, £1,000/month IP, 26-week deferred period, to age 65).</t>
  </si>
  <si>
    <t xml:space="preserve">Annual Premium (£)</t>
  </si>
  <si>
    <t xml:space="preserve">Annual Benefit (£)</t>
  </si>
  <si>
    <t xml:space="preserve">Initial Expenses (£)</t>
  </si>
  <si>
    <t xml:space="preserve">Renewal Expense % of Premium</t>
  </si>
  <si>
    <t xml:space="preserve">Claim Inception Rate (per annum)</t>
  </si>
  <si>
    <t xml:space="preserve">Recovery Rate (per annum, claimants)</t>
  </si>
  <si>
    <t xml:space="preserve">Mortality Rate (per annum)</t>
  </si>
  <si>
    <t xml:space="preserve">Lapse Rate (per annum)</t>
  </si>
  <si>
    <t xml:space="preserve">Investment Return (per annum)</t>
  </si>
  <si>
    <t xml:space="preserve">Risk Discount Rate</t>
  </si>
  <si>
    <t xml:space="preserve">Tax Rate</t>
  </si>
  <si>
    <t xml:space="preserve">Initial Reserve % of Annual Premium</t>
  </si>
  <si>
    <t xml:space="preserve">Policy Term (years)</t>
  </si>
  <si>
    <t xml:space="preserve">CASHFLOW PROJECTION  (per policy in-force at start of year)</t>
  </si>
  <si>
    <t xml:space="preserve">Item</t>
  </si>
  <si>
    <t xml:space="preserve">Year 1</t>
  </si>
  <si>
    <t xml:space="preserve">Year 2</t>
  </si>
  <si>
    <t xml:space="preserve">Year 3</t>
  </si>
  <si>
    <t xml:space="preserve">Year 4</t>
  </si>
  <si>
    <t xml:space="preserve">Year 5</t>
  </si>
  <si>
    <t xml:space="preserve">Year 6</t>
  </si>
  <si>
    <t xml:space="preserve">Year 7</t>
  </si>
  <si>
    <t xml:space="preserve">Year 8</t>
  </si>
  <si>
    <t xml:space="preserve">Year 9</t>
  </si>
  <si>
    <t xml:space="preserve">Year 10</t>
  </si>
  <si>
    <t xml:space="preserve">Lives in-force (start of year)</t>
  </si>
  <si>
    <t xml:space="preserve">Lives claiming (start of year)</t>
  </si>
  <si>
    <t xml:space="preserve">Premium Income</t>
  </si>
  <si>
    <t xml:space="preserve">Claim Outgo</t>
  </si>
  <si>
    <t xml:space="preserve">Initial Expenses</t>
  </si>
  <si>
    <t xml:space="preserve">Renewal Expenses</t>
  </si>
  <si>
    <t xml:space="preserve">Increase in Reserve</t>
  </si>
  <si>
    <t xml:space="preserve">Investment Income on Reserve</t>
  </si>
  <si>
    <t xml:space="preserve">Pre-Tax Profit</t>
  </si>
  <si>
    <t xml:space="preserve">Tax</t>
  </si>
  <si>
    <t xml:space="preserve">After-Tax Profit</t>
  </si>
  <si>
    <t xml:space="preserve">Discount Factor</t>
  </si>
  <si>
    <t xml:space="preserve">Discounted Profit</t>
  </si>
  <si>
    <t xml:space="preserve">PROFITABILITY SUMMARY</t>
  </si>
  <si>
    <t xml:space="preserve">Metric</t>
  </si>
  <si>
    <t xml:space="preserve">Value</t>
  </si>
  <si>
    <t xml:space="preserve">Interpretation</t>
  </si>
  <si>
    <t xml:space="preserve">Net Present Value (NPV) of profits</t>
  </si>
  <si>
    <t xml:space="preserve">Positive = profitable on a discounted basis</t>
  </si>
  <si>
    <t xml:space="preserve">Total undiscounted profit</t>
  </si>
  <si>
    <t xml:space="preserve">Gross profit over 10 years shown</t>
  </si>
  <si>
    <t xml:space="preserve">Return on Capital (approx)</t>
  </si>
  <si>
    <t xml:space="preserve">% return on initial reserve capital deployed</t>
  </si>
  <si>
    <t xml:space="preserve">Profit Margin (% of premium income)</t>
  </si>
  <si>
    <t xml:space="preserve">After-tax profit as % of total premium income</t>
  </si>
  <si>
    <t xml:space="preserve">ACTUARIAL NOTE: The single policy profit test is the primary pricing tool (Type 1 model). It projects cashflows for one representative model point. Change the premium in B5 until NPV = 0 to find the break-even premium. Add a margin above this for the profit criterion.</t>
  </si>
  <si>
    <t xml:space="preserve">Model Use 2: Setting Reserves — Gross Premium Reserve (IP Policy, In-Force Portfolio)</t>
  </si>
  <si>
    <t xml:space="preserve">ASSUMPTIONS</t>
  </si>
  <si>
    <t xml:space="preserve">Reserve = PV(future benefits + expenses) minus PV(future premiums), projected from current valuation date.</t>
  </si>
  <si>
    <t xml:space="preserve">Annual Gross Premium (£)</t>
  </si>
  <si>
    <t xml:space="preserve">Claim Inception Rate (p.a.)</t>
  </si>
  <si>
    <t xml:space="preserve">Recovery Rate (p.a.)</t>
  </si>
  <si>
    <t xml:space="preserve">Mortality Rate (p.a.)</t>
  </si>
  <si>
    <t xml:space="preserve">Lapse Rate (p.a.)</t>
  </si>
  <si>
    <t xml:space="preserve">Valuation Interest Rate</t>
  </si>
  <si>
    <t xml:space="preserve">Remaining Policy Term (years)</t>
  </si>
  <si>
    <t xml:space="preserve">Prudential Margin on Claims</t>
  </si>
  <si>
    <t xml:space="preserve">RESERVE PROJECTION  (per policy in-force, from valuation date)</t>
  </si>
  <si>
    <t xml:space="preserve">Year</t>
  </si>
  <si>
    <t xml:space="preserve">Survival Prob</t>
  </si>
  <si>
    <t xml:space="preserve">PV Factor</t>
  </si>
  <si>
    <t xml:space="preserve">PV Benefit Outgo</t>
  </si>
  <si>
    <t xml:space="preserve">PV Expense Outgo</t>
  </si>
  <si>
    <t xml:space="preserve">PV Premium Income</t>
  </si>
  <si>
    <t xml:space="preserve">Marginal Reserve</t>
  </si>
  <si>
    <t xml:space="preserve">Cumulative Reserve</t>
  </si>
  <si>
    <t xml:space="preserve">RESERVE SUMMARY</t>
  </si>
  <si>
    <t xml:space="preserve">Reserve Measure</t>
  </si>
  <si>
    <t xml:space="preserve">Notes</t>
  </si>
  <si>
    <t xml:space="preserve">Gross Premium Reserve (GPR)</t>
  </si>
  <si>
    <t xml:space="preserve">PV(outgo) - PV(income) incl. prudential margin</t>
  </si>
  <si>
    <t xml:space="preserve">Best Estimate Reserve (no margin)</t>
  </si>
  <si>
    <t xml:space="preserve">Without the prudential margin on claims</t>
  </si>
  <si>
    <t xml:space="preserve">Prudential Margin Held</t>
  </si>
  <si>
    <t xml:space="preserve">Extra cushion above best estimate</t>
  </si>
  <si>
    <t xml:space="preserve">Margin as % of BEL</t>
  </si>
  <si>
    <t xml:space="preserve">Prudential margin / best estimate liability</t>
  </si>
  <si>
    <t xml:space="preserve">ACTUARIAL NOTE: The gross premium reserve (Type 3 model) is the statutory liability on the balance sheet. It equals PV(future outgo) minus PV(future premiums). A prudential margin is added above the best estimate. The valuation interest rate (B12) is typically set below the expected investment return.</t>
  </si>
  <si>
    <t xml:space="preserve">Model Use 3: Embedded Value (EV) — Value of In-Force Business + Net Assets</t>
  </si>
  <si>
    <t xml:space="preserve">Traditional EV = Adjusted Net Worth (ANW) + Value of In-Force Business (VIF). VIF = PV(future after-tax shareholder profits) at the risk discount rate.</t>
  </si>
  <si>
    <t xml:space="preserve">Number of Policies In-Force</t>
  </si>
  <si>
    <t xml:space="preserve">Annual Premium per Policy (£)</t>
  </si>
  <si>
    <t xml:space="preserve">Annual Benefit per Policy (£)</t>
  </si>
  <si>
    <t xml:space="preserve">Renewal Expense % Premium</t>
  </si>
  <si>
    <t xml:space="preserve">Investment Return</t>
  </si>
  <si>
    <t xml:space="preserve">Statutory Reserve per Policy (£)</t>
  </si>
  <si>
    <t xml:space="preserve">Required Capital per Policy (£)</t>
  </si>
  <si>
    <t xml:space="preserve">Free Assets / Surplus (£000)</t>
  </si>
  <si>
    <t xml:space="preserve">Remaining Average Term (years)</t>
  </si>
  <si>
    <t xml:space="preserve">VIF CASHFLOW PROJECTION  (£000 — portfolio level)</t>
  </si>
  <si>
    <t xml:space="preserve">In-Force Policies</t>
  </si>
  <si>
    <t xml:space="preserve">Claims Outgo</t>
  </si>
  <si>
    <t xml:space="preserve">Expenses</t>
  </si>
  <si>
    <t xml:space="preserve">EMBEDDED VALUE SUMMARY  (£000)</t>
  </si>
  <si>
    <t xml:space="preserve">Component</t>
  </si>
  <si>
    <t xml:space="preserve">Value (£000)</t>
  </si>
  <si>
    <t xml:space="preserve">Value of In-Force (VIF)</t>
  </si>
  <si>
    <t xml:space="preserve">PV of after-tax profits minus cost of required capital</t>
  </si>
  <si>
    <t xml:space="preserve">Free Surplus</t>
  </si>
  <si>
    <t xml:space="preserve">Assets in excess of reserves + required capital</t>
  </si>
  <si>
    <t xml:space="preserve">Required Capital</t>
  </si>
  <si>
    <t xml:space="preserve">Capital allocated to support the in-force book</t>
  </si>
  <si>
    <t xml:space="preserve">Adjusted Net Worth (ANW)</t>
  </si>
  <si>
    <t xml:space="preserve">Free surplus + required capital</t>
  </si>
  <si>
    <t xml:space="preserve">EMBEDDED VALUE (EV)</t>
  </si>
  <si>
    <t xml:space="preserve">VIF + ANW  — total shareholder value in-force</t>
  </si>
  <si>
    <t xml:space="preserve">EV per Policy (£)</t>
  </si>
  <si>
    <t xml:space="preserve">Useful for benchmarking against peers</t>
  </si>
  <si>
    <t xml:space="preserve">Value of New Business (VNB) — illustrative</t>
  </si>
  <si>
    <t xml:space="preserve">Assume new business adds 8% p.a. to EV (illustrative)</t>
  </si>
  <si>
    <t xml:space="preserve">ACTUARIAL NOTE: EV uses the existing business model (Type 3). VIF = PV(shareholder profits) at the risk discount rate (B14), minus the cost of required capital. ANW = free assets + required capital. EV is backward-looking — it excludes the value of future new business (goodwill).</t>
  </si>
  <si>
    <t xml:space="preserve">Model Use 4: Capital Requirements — New Business Strain &amp; SCR (Full Model Office)</t>
  </si>
  <si>
    <t xml:space="preserve">Capital required = statutory reserves + SCR. New business strain = capital deployed at outset before premiums recover it.</t>
  </si>
  <si>
    <t xml:space="preserve">Annual New Business Volume (policies)</t>
  </si>
  <si>
    <t xml:space="preserve">Initial Expenses per Policy (£)</t>
  </si>
  <si>
    <t xml:space="preserve">Statutory Reserve — Year 1 per Policy (£)</t>
  </si>
  <si>
    <t xml:space="preserve">SCR as % of Annual Premium</t>
  </si>
  <si>
    <t xml:space="preserve">Investment Return on Free Assets</t>
  </si>
  <si>
    <t xml:space="preserve">Projection Years</t>
  </si>
  <si>
    <t xml:space="preserve">NEW BUSINESS STRAIN &amp; CAPITAL DEPLOYED  (£000, company level)</t>
  </si>
  <si>
    <t xml:space="preserve">NB Policies</t>
  </si>
  <si>
    <t xml:space="preserve">Premiums Received</t>
  </si>
  <si>
    <t xml:space="preserve">Reserves Required</t>
  </si>
  <si>
    <t xml:space="preserve">SCR Required</t>
  </si>
  <si>
    <t xml:space="preserve">Total Capital Needed</t>
  </si>
  <si>
    <t xml:space="preserve">New Business Strain</t>
  </si>
  <si>
    <t xml:space="preserve">Cumulative Strain</t>
  </si>
  <si>
    <t xml:space="preserve">CAPITAL SUMMARY</t>
  </si>
  <si>
    <t xml:space="preserve">Comment</t>
  </si>
  <si>
    <t xml:space="preserve">Year 1 New Business Strain (£000)</t>
  </si>
  <si>
    <t xml:space="preserve">Capital consumed in year 1 of writing new business</t>
  </si>
  <si>
    <t xml:space="preserve">Peak Cumulative Capital Strain (£000)</t>
  </si>
  <si>
    <t xml:space="preserve">Maximum capital deployed at any point</t>
  </si>
  <si>
    <t xml:space="preserve">SCR Year 1 (£000)</t>
  </si>
  <si>
    <t xml:space="preserve">Solvency Capital Requirement — year 1 cohort</t>
  </si>
  <si>
    <t xml:space="preserve">Total Capital Required — Year 1 (£000)</t>
  </si>
  <si>
    <t xml:space="preserve">Reserves + SCR for first year of new business</t>
  </si>
  <si>
    <t xml:space="preserve">Strain as % of Premiums</t>
  </si>
  <si>
    <t xml:space="preserve">New business strain relative to premium income</t>
  </si>
  <si>
    <t xml:space="preserve">ACTUARIAL NOTE: The full model office (Type 4) is used to assess capital requirements. New business strain arises because statutory reserves + SCR exceed the first premium net of expenses. The insurer must fund this from free assets. Change B5 (new business volume) to see the capital impact.</t>
  </si>
  <si>
    <t xml:space="preserve">Model Use 5: Analysis of Surplus — Actual vs Expected (Existing Business Model)</t>
  </si>
  <si>
    <t xml:space="preserve">VALUATION BASIS (EXPECTED ASSUMPTIONS)</t>
  </si>
  <si>
    <t xml:space="preserve">Analysis of surplus decomposes the difference between actual and expected results into sources. Each source of surplus is separately identified.</t>
  </si>
  <si>
    <t xml:space="preserve">Opening Reserve (£000)</t>
  </si>
  <si>
    <t xml:space="preserve">Expected Claim Rate (p.a.)</t>
  </si>
  <si>
    <t xml:space="preserve">Expected Recovery Rate (p.a.)</t>
  </si>
  <si>
    <t xml:space="preserve">Expected Lapse Rate (p.a.)</t>
  </si>
  <si>
    <t xml:space="preserve">Expected Mortality Rate (p.a.)</t>
  </si>
  <si>
    <t xml:space="preserve">Expected Investment Return</t>
  </si>
  <si>
    <t xml:space="preserve">Expected Expenses (£000)</t>
  </si>
  <si>
    <t xml:space="preserve">Annual Premium Income (£000)</t>
  </si>
  <si>
    <t xml:space="preserve">Annual Benefit per Claimant (£000)</t>
  </si>
  <si>
    <t xml:space="preserve">Policies In-Force (start of year)</t>
  </si>
  <si>
    <t xml:space="preserve">ACTUAL EXPERIENCE  (blue = actual outturn to enter)</t>
  </si>
  <si>
    <t xml:space="preserve">Actual Claim Rate (p.a.)</t>
  </si>
  <si>
    <t xml:space="preserve">Actual Recovery Rate (p.a.)</t>
  </si>
  <si>
    <t xml:space="preserve">Actual Lapse Rate (p.a.)</t>
  </si>
  <si>
    <t xml:space="preserve">Actual Mortality Rate (p.a.)</t>
  </si>
  <si>
    <t xml:space="preserve">Actual Investment Return</t>
  </si>
  <si>
    <t xml:space="preserve">Actual Expenses (£000)</t>
  </si>
  <si>
    <t xml:space="preserve">SURPLUS ANALYSIS  (£000)  — Positive = surplus emerged / Negative = strain</t>
  </si>
  <si>
    <t xml:space="preserve">Source of Surplus</t>
  </si>
  <si>
    <t xml:space="preserve">Expected (£000)</t>
  </si>
  <si>
    <t xml:space="preserve">Actual (£000)</t>
  </si>
  <si>
    <t xml:space="preserve">Surplus (£000)</t>
  </si>
  <si>
    <t xml:space="preserve">A/E Ratio</t>
  </si>
  <si>
    <t xml:space="preserve">Morbidity/Claim Surplus</t>
  </si>
  <si>
    <t xml:space="preserve">Actual claim rate vs expected</t>
  </si>
  <si>
    <t xml:space="preserve">Recovery Surplus</t>
  </si>
  <si>
    <t xml:space="preserve">Actual recovery rate vs expected</t>
  </si>
  <si>
    <t xml:space="preserve">Persistency / Lapse Surplus</t>
  </si>
  <si>
    <t xml:space="preserve">Lapse surplus: fewer lapses = more premiums</t>
  </si>
  <si>
    <t xml:space="preserve">Mortality Surplus</t>
  </si>
  <si>
    <t xml:space="preserve">Actual deaths vs expected</t>
  </si>
  <si>
    <t xml:space="preserve">Investment Surplus</t>
  </si>
  <si>
    <t xml:space="preserve">Actual vs expected investment income on reserves</t>
  </si>
  <si>
    <t xml:space="preserve">Expense Surplus</t>
  </si>
  <si>
    <t xml:space="preserve">Actual vs expected expenses (lower actual = positive)</t>
  </si>
  <si>
    <t xml:space="preserve">TOTAL SURPLUS EMERGED</t>
  </si>
  <si>
    <t xml:space="preserve">ACTUARIAL NOTE: Analysis of surplus (Type 3 model) reconciles actual vs expected experience. Each row isolates one assumption. Where actual consistently differs from expected, the pricing or reserving basis should be reviewed. Positive surplus = experience better than assumed.</t>
  </si>
  <si>
    <t xml:space="preserve">Model Use 6: Investment Strategy — Asset/Liability Matching (Full Model Office)</t>
  </si>
  <si>
    <t xml:space="preserve">Projects asset and liability values forward under two investment strategies. Solvency = assets &gt; liabilities + SCR.</t>
  </si>
  <si>
    <t xml:space="preserve">Opening Asset Value (£000)</t>
  </si>
  <si>
    <t xml:space="preserve">Opening Liability (Reserve) (£000)</t>
  </si>
  <si>
    <t xml:space="preserve">SCR (% of liabilities)</t>
  </si>
  <si>
    <t xml:space="preserve">Annual Claim + Expense Outgo (£000)</t>
  </si>
  <si>
    <t xml:space="preserve">Liability Growth Rate (p.a.)</t>
  </si>
  <si>
    <t xml:space="preserve">Strategy A: Bond Return (p.a.)</t>
  </si>
  <si>
    <t xml:space="preserve">Strategy B: Equity/Mixed Return (p.a.)</t>
  </si>
  <si>
    <t xml:space="preserve">Strategy B: Equity Return Std Dev (illustrative)</t>
  </si>
  <si>
    <t xml:space="preserve">Strategy B: Worst-case Scenario Return</t>
  </si>
  <si>
    <t xml:space="preserve">PROJECTION — STRATEGY A (Bonds / Matched)</t>
  </si>
  <si>
    <t xml:space="preserve">Assets (£000)</t>
  </si>
  <si>
    <t xml:space="preserve">Liabilities (£000)</t>
  </si>
  <si>
    <t xml:space="preserve">SCR (£000)</t>
  </si>
  <si>
    <t xml:space="preserve">Solvency Ratio</t>
  </si>
  <si>
    <t xml:space="preserve">Solvent?</t>
  </si>
  <si>
    <t xml:space="preserve">Surplus Margin</t>
  </si>
  <si>
    <t xml:space="preserve">PROJECTION — STRATEGY B (Equity / Higher Return — Expected + Worst-case)</t>
  </si>
  <si>
    <t xml:space="preserve">Assets Expected</t>
  </si>
  <si>
    <t xml:space="preserve">Assets Worst-case</t>
  </si>
  <si>
    <t xml:space="preserve">Liabilities</t>
  </si>
  <si>
    <t xml:space="preserve">SCR</t>
  </si>
  <si>
    <t xml:space="preserve">Surplus Expected</t>
  </si>
  <si>
    <t xml:space="preserve">Surplus Worst-case</t>
  </si>
  <si>
    <t xml:space="preserve">Worst-case Solvent?</t>
  </si>
  <si>
    <t xml:space="preserve">ACTUARIAL NOTE: The full model office (Type 4) projects assets and liabilities under different investment strategies. Strategy A (matched bonds) provides certainty of meeting liabilities. Strategy B (equities) offers higher expected returns but risks a solvency breach in the worst-case scenario. The actuary selects the strategy with acceptable ruin probability.</t>
  </si>
  <si>
    <t xml:space="preserve">Model Use 7: Costing Options &amp; Guarantees — Guaranteed Insurability Option (IP)</t>
  </si>
  <si>
    <t xml:space="preserve">Guaranteed Insurability Option (GIO): policyholder can increase cover at future dates without further medical evidence. Cost = difference between ordinary and GIO premium for those who exercise.</t>
  </si>
  <si>
    <t xml:space="preserve">Number of Policies with GIO Option</t>
  </si>
  <si>
    <t xml:space="preserve">Standard Annual Premium (£, per £000 benefit)</t>
  </si>
  <si>
    <t xml:space="preserve">Assumed Option Exercise Rate</t>
  </si>
  <si>
    <t xml:space="preserve">Morbidity Loading for Option Exercisers (vs standard)</t>
  </si>
  <si>
    <t xml:space="preserve">Average Cover Increase on Exercise (£000 benefit)</t>
  </si>
  <si>
    <t xml:space="preserve">Number of Future Option Dates (years)</t>
  </si>
  <si>
    <t xml:space="preserve">Annual Probability of Option Date Occurring</t>
  </si>
  <si>
    <t xml:space="preserve">Lapse Rate (p.a.) on policies with GIO</t>
  </si>
  <si>
    <t xml:space="preserve">OPTION COST PROJECTION  (£000)</t>
  </si>
  <si>
    <t xml:space="preserve">Option Date (Year)</t>
  </si>
  <si>
    <t xml:space="preserve">Eligible Policies</t>
  </si>
  <si>
    <t xml:space="preserve">Expected Exercisers</t>
  </si>
  <si>
    <t xml:space="preserve">Extra Premium Charged (£000)</t>
  </si>
  <si>
    <t xml:space="preserve">True Cost (£000)</t>
  </si>
  <si>
    <t xml:space="preserve">Net Cost of Option (£000)</t>
  </si>
  <si>
    <t xml:space="preserve">PV of Net Cost (£000)</t>
  </si>
  <si>
    <t xml:space="preserve">OPTION RESERVE SUMMARY  (£000)</t>
  </si>
  <si>
    <t xml:space="preserve">Total PV of Option Cost (£000)</t>
  </si>
  <si>
    <t xml:space="preserve">Reserve needed now to cover future option costs</t>
  </si>
  <si>
    <t xml:space="preserve">Total Undiscounted Option Cost</t>
  </si>
  <si>
    <t xml:space="preserve">Gross cost before discounting</t>
  </si>
  <si>
    <t xml:space="preserve">Option Cost per Policy (£)</t>
  </si>
  <si>
    <t xml:space="preserve">Reserve per policy with GIO — to be added to base premium</t>
  </si>
  <si>
    <t xml:space="preserve">Loading as % of Standard Premium</t>
  </si>
  <si>
    <t xml:space="preserve">Annual loading needed to fund the GIO option</t>
  </si>
  <si>
    <t xml:space="preserve">ACTUARIAL NOTE: Options and guarantees (Type 1 / stochastic) require explicit modelling of take-up rates and the morbidity of exercisers (who are self-selecting — typically worse risks). The key driver is the morbidity loading (B7). Stochastic models would simulate a distribution of take-up rates rather than using a single assumed rate.</t>
  </si>
  <si>
    <t xml:space="preserve">Model Use 8: Reinsurance — Optimal Retention Level (Cost Minimisation Approach)</t>
  </si>
  <si>
    <t xml:space="preserve">Retention level = benefit amount the insurer keeps. Cost = reinsurance premium + cost of holding fluctuation reserve. Minimise total cost.</t>
  </si>
  <si>
    <t xml:space="preserve">Portfolio Size (number of policies)</t>
  </si>
  <si>
    <t xml:space="preserve">Average Annual Benefit (£000)</t>
  </si>
  <si>
    <t xml:space="preserve">Base Claim Inception Rate (p.a.)</t>
  </si>
  <si>
    <t xml:space="preserve">Coefficient of Variation of Claims (vol)</t>
  </si>
  <si>
    <t xml:space="preserve">Cost of Capital (for fluctuation reserve)</t>
  </si>
  <si>
    <t xml:space="preserve">Reinsurance Loading (% of expected risk premium)</t>
  </si>
  <si>
    <t xml:space="preserve">RETENTION ANALYSIS  (varying retention from 25% to 100% of benefit)</t>
  </si>
  <si>
    <t xml:space="preserve">Retention %</t>
  </si>
  <si>
    <t xml:space="preserve">Retained Benefit (£000)</t>
  </si>
  <si>
    <t xml:space="preserve">Expected Claims (£000)</t>
  </si>
  <si>
    <t xml:space="preserve">Reinsured Claims (£000)</t>
  </si>
  <si>
    <t xml:space="preserve">Reinsurance Premium (£000)</t>
  </si>
  <si>
    <t xml:space="preserve">Fluctuation Reserve (£000)</t>
  </si>
  <si>
    <t xml:space="preserve">Cost of Reserve (£000)</t>
  </si>
  <si>
    <t xml:space="preserve">TOTAL COST (£000)</t>
  </si>
  <si>
    <t xml:space="preserve">OPTIMAL RETENTION</t>
  </si>
  <si>
    <t xml:space="preserve">Optimal Retention %</t>
  </si>
  <si>
    <t xml:space="preserve">Min Total Cost (£000)</t>
  </si>
  <si>
    <t xml:space="preserve">Retention that minimises (reinsurance premium + cost of fluctuation reserve)</t>
  </si>
  <si>
    <t xml:space="preserve">ACTUARIAL NOTE: The retention level is set to minimise total cost = reinsurance premium + cost of holding a fluctuation reserve. As retention rises, reinsurance cost falls but fluctuation reserve cost rises. The crossover point is the optimal retention. Change B10 (reinsurance loading) to see how the optimal retention shifts.</t>
  </si>
  <si>
    <t xml:space="preserve">Model Use 9: Sensitivity &amp; Scenario Testing — Profit Test Tornado (Single Policy)</t>
  </si>
  <si>
    <t xml:space="preserve">BASE CASE ASSUMPTIONS</t>
  </si>
  <si>
    <t xml:space="preserve">Sensitivity test: each assumption is stressed in turn. Impact on NPV of profits shows which assumptions are most financially significant.</t>
  </si>
  <si>
    <t xml:space="preserve">Renewal Expense %</t>
  </si>
  <si>
    <t xml:space="preserve">Stress Size (% change)</t>
  </si>
  <si>
    <t xml:space="preserve">BASE NPV</t>
  </si>
  <si>
    <t xml:space="preserve">Base Case NPV (£, per policy)</t>
  </si>
  <si>
    <t xml:space="preserve">SENSITIVITY ANALYSIS — TORNADO TABLE  (10% stress on each assumption)</t>
  </si>
  <si>
    <t xml:space="preserve">Assumption Stressed</t>
  </si>
  <si>
    <t xml:space="preserve">Base Value</t>
  </si>
  <si>
    <t xml:space="preserve">Stressed Value (+10%)</t>
  </si>
  <si>
    <t xml:space="preserve">NPV Base (£)</t>
  </si>
  <si>
    <t xml:space="preserve">NPV Stressed (£)</t>
  </si>
  <si>
    <t xml:space="preserve">Change in NPV (£)</t>
  </si>
  <si>
    <t xml:space="preserve">% Impact on NPV</t>
  </si>
  <si>
    <t xml:space="preserve">Rank by Impact</t>
  </si>
  <si>
    <t xml:space="preserve">Claim Inception Rate +10%</t>
  </si>
  <si>
    <t xml:space="preserve">Annual Benefit +10%</t>
  </si>
  <si>
    <t xml:space="preserve">Recovery Rate -10% (adverse)</t>
  </si>
  <si>
    <t xml:space="preserve">Annual Premium -10% (competitive pressure)</t>
  </si>
  <si>
    <t xml:space="preserve">Lapse Rate +10%</t>
  </si>
  <si>
    <t xml:space="preserve">Investment Return -10% (adverse)</t>
  </si>
  <si>
    <t xml:space="preserve">Risk Discount Rate +10%</t>
  </si>
  <si>
    <t xml:space="preserve">Initial Expenses +10%</t>
  </si>
  <si>
    <t xml:space="preserve">Renewal Expense % +10%</t>
  </si>
  <si>
    <t xml:space="preserve">MOST FINANCIALLY SIGNIFICANT ASSUMPTIONS</t>
  </si>
  <si>
    <t xml:space="preserve">Assumption with largest NPV impact:</t>
  </si>
  <si>
    <t xml:space="preserve">NPV impact of that stress (£):</t>
  </si>
  <si>
    <t xml:space="preserve">ACTUARIAL NOTE: Sensitivity testing shows which assumptions have the largest financial impact. The actuary adds larger margins to the most sensitive parameters when pricing. If the product is overly sensitive to one factor (e.g. claim inception rate), the actuary may consider reinsurance or reviewable premiums to limit exposure.</t>
  </si>
</sst>
</file>

<file path=xl/styles.xml><?xml version="1.0" encoding="utf-8"?>
<styleSheet xmlns="http://schemas.openxmlformats.org/spreadsheetml/2006/main">
  <numFmts count="10">
    <numFmt numFmtId="164" formatCode="General"/>
    <numFmt numFmtId="165" formatCode="\£#,##0"/>
    <numFmt numFmtId="166" formatCode="0.0%"/>
    <numFmt numFmtId="167" formatCode="0.000"/>
    <numFmt numFmtId="168" formatCode="0"/>
    <numFmt numFmtId="169" formatCode="0.0000"/>
    <numFmt numFmtId="170" formatCode="0.0"/>
    <numFmt numFmtId="171" formatCode="0,000"/>
    <numFmt numFmtId="172" formatCode="0.0\x"/>
    <numFmt numFmtId="173" formatCode="0%"/>
  </numFmts>
  <fonts count="19">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595959"/>
      <name val="Arial"/>
      <family val="0"/>
      <charset val="1"/>
    </font>
    <font>
      <b val="true"/>
      <sz val="10"/>
      <color rgb="FF1F3864"/>
      <name val="Arial"/>
      <family val="0"/>
      <charset val="1"/>
    </font>
    <font>
      <sz val="10"/>
      <color rgb="FF000000"/>
      <name val="Arial"/>
      <family val="0"/>
      <charset val="1"/>
    </font>
    <font>
      <b val="true"/>
      <sz val="10"/>
      <color rgb="FFFFFFFF"/>
      <name val="Arial"/>
      <family val="0"/>
      <charset val="1"/>
    </font>
    <font>
      <sz val="10"/>
      <color rgb="FF595959"/>
      <name val="Arial"/>
      <family val="0"/>
      <charset val="1"/>
    </font>
    <font>
      <sz val="10"/>
      <color rgb="FF0000FF"/>
      <name val="Arial"/>
      <family val="0"/>
      <charset val="1"/>
    </font>
    <font>
      <b val="true"/>
      <sz val="10"/>
      <color rgb="FF000000"/>
      <name val="Arial"/>
      <family val="0"/>
      <charset val="1"/>
    </font>
    <font>
      <b val="true"/>
      <sz val="10"/>
      <color rgb="FF1E8449"/>
      <name val="Arial"/>
      <family val="0"/>
      <charset val="1"/>
    </font>
    <font>
      <sz val="10"/>
      <color rgb="FF1E8449"/>
      <name val="Arial"/>
      <family val="0"/>
      <charset val="1"/>
    </font>
    <font>
      <b val="true"/>
      <sz val="10"/>
      <color rgb="FFC0392B"/>
      <name val="Arial"/>
      <family val="0"/>
      <charset val="1"/>
    </font>
    <font>
      <b val="true"/>
      <sz val="10"/>
      <name val="Arial"/>
      <family val="0"/>
      <charset val="1"/>
    </font>
    <font>
      <sz val="10"/>
      <color rgb="FFC0392B"/>
      <name val="Arial"/>
      <family val="0"/>
      <charset val="1"/>
    </font>
    <font>
      <b val="true"/>
      <sz val="10"/>
      <color rgb="FFD4AC0D"/>
      <name val="Arial"/>
      <family val="0"/>
      <charset val="1"/>
    </font>
    <font>
      <sz val="10"/>
      <color rgb="FFD4AC0D"/>
      <name val="Arial"/>
      <family val="0"/>
      <charset val="1"/>
    </font>
  </fonts>
  <fills count="13">
    <fill>
      <patternFill patternType="none"/>
    </fill>
    <fill>
      <patternFill patternType="gray125"/>
    </fill>
    <fill>
      <patternFill patternType="solid">
        <fgColor rgb="FF1F3864"/>
        <bgColor rgb="FF333333"/>
      </patternFill>
    </fill>
    <fill>
      <patternFill patternType="solid">
        <fgColor rgb="FFD6E4F0"/>
        <bgColor rgb="FFE8DAEF"/>
      </patternFill>
    </fill>
    <fill>
      <patternFill patternType="solid">
        <fgColor rgb="FFEBF5FB"/>
        <bgColor rgb="FFF2F2F2"/>
      </patternFill>
    </fill>
    <fill>
      <patternFill patternType="solid">
        <fgColor rgb="FFF2F2F2"/>
        <bgColor rgb="FFEBF5FB"/>
      </patternFill>
    </fill>
    <fill>
      <patternFill patternType="solid">
        <fgColor rgb="FFFEF9E7"/>
        <bgColor rgb="FFFFFFFF"/>
      </patternFill>
    </fill>
    <fill>
      <patternFill patternType="solid">
        <fgColor rgb="FF2E75B6"/>
        <bgColor rgb="FF0066CC"/>
      </patternFill>
    </fill>
    <fill>
      <patternFill patternType="solid">
        <fgColor rgb="FFD5F5E3"/>
        <bgColor rgb="FFD6E4F0"/>
      </patternFill>
    </fill>
    <fill>
      <patternFill patternType="solid">
        <fgColor rgb="FFFADBD8"/>
        <bgColor rgb="FFE8DAEF"/>
      </patternFill>
    </fill>
    <fill>
      <patternFill patternType="solid">
        <fgColor rgb="FF6C3483"/>
        <bgColor rgb="FF993366"/>
      </patternFill>
    </fill>
    <fill>
      <patternFill patternType="solid">
        <fgColor rgb="FFE8DAEF"/>
        <bgColor rgb="FFFADBD8"/>
      </patternFill>
    </fill>
    <fill>
      <patternFill patternType="solid">
        <fgColor rgb="FFFFFFFF"/>
        <bgColor rgb="FFFEF9E7"/>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5" fillId="6" borderId="0" xfId="0" applyFont="true" applyBorder="true" applyAlignment="true" applyProtection="false">
      <alignment horizontal="left" vertical="center" textRotation="0" wrapText="true" indent="0" shrinkToFit="false"/>
      <protection locked="true" hidden="false"/>
    </xf>
    <xf numFmtId="164" fontId="8" fillId="7" borderId="0"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5" fontId="10" fillId="4" borderId="1" xfId="0" applyFont="true" applyBorder="true" applyAlignment="true" applyProtection="false">
      <alignment horizontal="center" vertical="center"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6" fontId="10" fillId="4" borderId="1" xfId="0" applyFont="true" applyBorder="true" applyAlignment="true" applyProtection="false">
      <alignment horizontal="center" vertical="center" textRotation="0" wrapText="false" indent="0" shrinkToFit="false"/>
      <protection locked="true" hidden="false"/>
    </xf>
    <xf numFmtId="167" fontId="10" fillId="4" borderId="1" xfId="0" applyFont="true" applyBorder="true" applyAlignment="true" applyProtection="false">
      <alignment horizontal="center" vertical="center" textRotation="0" wrapText="false" indent="0" shrinkToFit="false"/>
      <protection locked="true" hidden="false"/>
    </xf>
    <xf numFmtId="168" fontId="10" fillId="4"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4" fontId="11" fillId="8" borderId="1" xfId="0" applyFont="true" applyBorder="true" applyAlignment="true" applyProtection="false">
      <alignment horizontal="left" vertical="center" textRotation="0" wrapText="true" indent="0" shrinkToFit="false"/>
      <protection locked="true" hidden="false"/>
    </xf>
    <xf numFmtId="165" fontId="12" fillId="8" borderId="1" xfId="0" applyFont="true" applyBorder="true" applyAlignment="true" applyProtection="false">
      <alignment horizontal="center" vertical="center" textRotation="0" wrapText="fals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65" fontId="11" fillId="4" borderId="1" xfId="0" applyFont="true" applyBorder="true" applyAlignment="true" applyProtection="false">
      <alignment horizontal="center" vertical="center" textRotation="0" wrapText="false" indent="0" shrinkToFit="false"/>
      <protection locked="true" hidden="false"/>
    </xf>
    <xf numFmtId="164" fontId="8" fillId="2" borderId="0" xfId="0" applyFont="true" applyBorder="tru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5" fillId="5" borderId="1" xfId="0" applyFont="true" applyBorder="true" applyAlignment="true" applyProtection="false">
      <alignment horizontal="left" vertical="center" textRotation="0" wrapText="true" indent="0" shrinkToFit="false"/>
      <protection locked="true" hidden="false"/>
    </xf>
    <xf numFmtId="170" fontId="11" fillId="4" borderId="1" xfId="0" applyFont="true" applyBorder="true" applyAlignment="true" applyProtection="false">
      <alignment horizontal="center" vertical="center" textRotation="0" wrapText="false" indent="0" shrinkToFit="false"/>
      <protection locked="true" hidden="false"/>
    </xf>
    <xf numFmtId="166" fontId="11" fillId="4"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71" fontId="10" fillId="4" borderId="1" xfId="0" applyFont="true" applyBorder="true" applyAlignment="true" applyProtection="false">
      <alignment horizontal="center" vertical="center" textRotation="0" wrapText="false" indent="0" shrinkToFit="false"/>
      <protection locked="true" hidden="false"/>
    </xf>
    <xf numFmtId="171" fontId="7" fillId="0" borderId="1" xfId="0" applyFont="true" applyBorder="true" applyAlignment="true" applyProtection="false">
      <alignment horizontal="center" vertical="center" textRotation="0" wrapText="false" indent="0" shrinkToFit="false"/>
      <protection locked="true" hidden="false"/>
    </xf>
    <xf numFmtId="165" fontId="13" fillId="8" borderId="1" xfId="0" applyFont="true" applyBorder="true" applyAlignment="true" applyProtection="false">
      <alignment horizontal="center" vertical="center" textRotation="0" wrapText="false" indent="0" shrinkToFit="false"/>
      <protection locked="true" hidden="false"/>
    </xf>
    <xf numFmtId="164" fontId="12" fillId="8" borderId="1" xfId="0" applyFont="true" applyBorder="true" applyAlignment="true" applyProtection="false">
      <alignment horizontal="left" vertical="center" textRotation="0" wrapText="true" indent="0" shrinkToFit="false"/>
      <protection locked="true" hidden="false"/>
    </xf>
    <xf numFmtId="165" fontId="14" fillId="9" borderId="1" xfId="0" applyFont="true" applyBorder="true" applyAlignment="true" applyProtection="false">
      <alignment horizontal="center" vertical="center" textRotation="0" wrapText="fals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65" fontId="11" fillId="0" borderId="1" xfId="0" applyFont="true" applyBorder="true" applyAlignment="true" applyProtection="false">
      <alignment horizontal="center" vertical="center" textRotation="0" wrapText="false" indent="0" shrinkToFit="false"/>
      <protection locked="true" hidden="false"/>
    </xf>
    <xf numFmtId="165" fontId="7" fillId="5" borderId="1" xfId="0" applyFont="true" applyBorder="true" applyAlignment="true" applyProtection="false">
      <alignment horizontal="center" vertical="center" textRotation="0" wrapText="false" indent="0" shrinkToFit="false"/>
      <protection locked="true" hidden="false"/>
    </xf>
    <xf numFmtId="166" fontId="7" fillId="5" borderId="1" xfId="0" applyFont="true" applyBorder="true" applyAlignment="true" applyProtection="false">
      <alignment horizontal="center" vertical="center" textRotation="0" wrapText="false" indent="0" shrinkToFit="false"/>
      <protection locked="true" hidden="false"/>
    </xf>
    <xf numFmtId="166" fontId="12" fillId="8" borderId="1" xfId="0" applyFont="true" applyBorder="true" applyAlignment="true" applyProtection="false">
      <alignment horizontal="center" vertical="center" textRotation="0" wrapText="fals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4" fontId="15" fillId="8" borderId="1" xfId="0" applyFont="true" applyBorder="true" applyAlignment="true" applyProtection="false">
      <alignment horizontal="center" vertical="center" textRotation="0" wrapText="false" indent="0" shrinkToFit="false"/>
      <protection locked="true" hidden="false"/>
    </xf>
    <xf numFmtId="164" fontId="8" fillId="10" borderId="0" xfId="0" applyFont="true" applyBorder="true" applyAlignment="true" applyProtection="false">
      <alignment horizontal="left" vertical="center" textRotation="0" wrapText="false" indent="0" shrinkToFit="false"/>
      <protection locked="true" hidden="false"/>
    </xf>
    <xf numFmtId="164" fontId="6" fillId="11" borderId="1" xfId="0" applyFont="true" applyBorder="true" applyAlignment="true" applyProtection="false">
      <alignment horizontal="center" vertical="center" textRotation="0" wrapText="false" indent="0" shrinkToFit="false"/>
      <protection locked="true" hidden="false"/>
    </xf>
    <xf numFmtId="165" fontId="16" fillId="9" borderId="1" xfId="0" applyFont="true" applyBorder="true" applyAlignment="true" applyProtection="false">
      <alignment horizontal="center" vertical="center" textRotation="0" wrapText="false" indent="0" shrinkToFit="false"/>
      <protection locked="true" hidden="false"/>
    </xf>
    <xf numFmtId="164" fontId="15" fillId="11" borderId="1" xfId="0" applyFont="true" applyBorder="true" applyAlignment="true" applyProtection="false">
      <alignment horizontal="center" vertical="center" textRotation="0" wrapText="false" indent="0" shrinkToFit="false"/>
      <protection locked="true" hidden="false"/>
    </xf>
    <xf numFmtId="172" fontId="10" fillId="4" borderId="1" xfId="0" applyFont="true" applyBorder="true" applyAlignment="true" applyProtection="false">
      <alignment horizontal="center" vertical="center" textRotation="0" wrapText="false" indent="0" shrinkToFit="false"/>
      <protection locked="true" hidden="false"/>
    </xf>
    <xf numFmtId="165" fontId="17" fillId="6" borderId="1" xfId="0" applyFont="true" applyBorder="true" applyAlignment="true" applyProtection="false">
      <alignment horizontal="center" vertical="center" textRotation="0" wrapText="false" indent="0" shrinkToFit="false"/>
      <protection locked="true" hidden="false"/>
    </xf>
    <xf numFmtId="173" fontId="10" fillId="4" borderId="1" xfId="0" applyFont="true" applyBorder="true" applyAlignment="true" applyProtection="false">
      <alignment horizontal="center" vertical="center" textRotation="0" wrapText="false" indent="0" shrinkToFit="false"/>
      <protection locked="true" hidden="false"/>
    </xf>
    <xf numFmtId="165" fontId="7" fillId="12" borderId="1" xfId="0" applyFont="true" applyBorder="true" applyAlignment="true" applyProtection="false">
      <alignment horizontal="center" vertical="center" textRotation="0" wrapText="false" indent="0" shrinkToFit="false"/>
      <protection locked="true" hidden="false"/>
    </xf>
    <xf numFmtId="173" fontId="12" fillId="8" borderId="1" xfId="0" applyFont="true" applyBorder="true" applyAlignment="true" applyProtection="false">
      <alignment horizontal="center" vertical="center" textRotation="0" wrapText="false" indent="0" shrinkToFit="false"/>
      <protection locked="true" hidden="false"/>
    </xf>
    <xf numFmtId="167" fontId="7" fillId="5" borderId="1" xfId="0" applyFont="true" applyBorder="true" applyAlignment="true" applyProtection="false">
      <alignment horizontal="center" vertical="center" textRotation="0" wrapText="false" indent="0" shrinkToFit="false"/>
      <protection locked="true" hidden="false"/>
    </xf>
    <xf numFmtId="167" fontId="7" fillId="4" borderId="1" xfId="0" applyFont="true" applyBorder="true" applyAlignment="true" applyProtection="false">
      <alignment horizontal="center" vertical="center" textRotation="0" wrapText="false" indent="0" shrinkToFit="false"/>
      <protection locked="true" hidden="false"/>
    </xf>
    <xf numFmtId="166" fontId="18" fillId="6" borderId="1" xfId="0" applyFont="true" applyBorder="true" applyAlignment="true" applyProtection="false">
      <alignment horizontal="center" vertical="center" textRotation="0" wrapText="false" indent="0" shrinkToFit="false"/>
      <protection locked="true" hidden="false"/>
    </xf>
    <xf numFmtId="168" fontId="7" fillId="5" borderId="1" xfId="0" applyFont="true" applyBorder="true" applyAlignment="true" applyProtection="false">
      <alignment horizontal="center" vertical="center" textRotation="0" wrapText="false" indent="0" shrinkToFit="false"/>
      <protection locked="true" hidden="false"/>
    </xf>
    <xf numFmtId="168" fontId="7" fillId="12" borderId="1" xfId="0" applyFont="true" applyBorder="true" applyAlignment="true" applyProtection="false">
      <alignment horizontal="center" vertical="center" textRotation="0" wrapText="false" indent="0" shrinkToFit="false"/>
      <protection locked="true" hidden="false"/>
    </xf>
    <xf numFmtId="166" fontId="7" fillId="12" borderId="1" xfId="0" applyFont="true" applyBorder="true" applyAlignment="true" applyProtection="false">
      <alignment horizontal="center" vertical="center" textRotation="0" wrapText="false" indent="0" shrinkToFit="false"/>
      <protection locked="true" hidden="false"/>
    </xf>
    <xf numFmtId="164" fontId="14" fillId="9"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6C3483"/>
      <rgbColor rgb="FFFEF9E7"/>
      <rgbColor rgb="FFEBF5FB"/>
      <rgbColor rgb="FF660066"/>
      <rgbColor rgb="FFFF8080"/>
      <rgbColor rgb="FF0066CC"/>
      <rgbColor rgb="FFE8DAEF"/>
      <rgbColor rgb="FF000080"/>
      <rgbColor rgb="FFFF00FF"/>
      <rgbColor rgb="FFFFFF00"/>
      <rgbColor rgb="FF00FFFF"/>
      <rgbColor rgb="FF800080"/>
      <rgbColor rgb="FF800000"/>
      <rgbColor rgb="FF008080"/>
      <rgbColor rgb="FF0000FF"/>
      <rgbColor rgb="FF00CCFF"/>
      <rgbColor rgb="FFD6E4F0"/>
      <rgbColor rgb="FFD5F5E3"/>
      <rgbColor rgb="FFF2F2F2"/>
      <rgbColor rgb="FF99CCFF"/>
      <rgbColor rgb="FFFF99CC"/>
      <rgbColor rgb="FFCC99FF"/>
      <rgbColor rgb="FFFADBD8"/>
      <rgbColor rgb="FF2E75B6"/>
      <rgbColor rgb="FF33CCCC"/>
      <rgbColor rgb="FF99CC00"/>
      <rgbColor rgb="FFFFCC00"/>
      <rgbColor rgb="FFD4AC0D"/>
      <rgbColor rgb="FFFF6600"/>
      <rgbColor rgb="FF595959"/>
      <rgbColor rgb="FF969696"/>
      <rgbColor rgb="FF1F3864"/>
      <rgbColor rgb="FF1E8449"/>
      <rgbColor rgb="FF003300"/>
      <rgbColor rgb="FF333300"/>
      <rgbColor rgb="FFC039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8"/>
    <col collapsed="false" customWidth="true" hidden="false" outlineLevel="0" max="3" min="3" style="1" width="32"/>
    <col collapsed="false" customWidth="true" hidden="false" outlineLevel="0" max="4" min="4" style="1" width="30"/>
    <col collapsed="false" customWidth="true" hidden="false" outlineLevel="0" max="6" min="5" style="1" width="20"/>
  </cols>
  <sheetData>
    <row r="1" customFormat="false" ht="31.5" hidden="false" customHeight="true" outlineLevel="0" collapsed="false">
      <c r="A1" s="2" t="s">
        <v>0</v>
      </c>
      <c r="B1" s="2"/>
      <c r="C1" s="2"/>
      <c r="D1" s="2"/>
      <c r="E1" s="2"/>
      <c r="F1" s="2"/>
    </row>
    <row r="2" customFormat="false" ht="15" hidden="false" customHeight="true" outlineLevel="0" collapsed="false">
      <c r="A2" s="3" t="s">
        <v>1</v>
      </c>
      <c r="B2" s="3"/>
      <c r="C2" s="3"/>
      <c r="D2" s="3"/>
      <c r="E2" s="3"/>
      <c r="F2" s="3"/>
    </row>
    <row r="4" customFormat="false" ht="15" hidden="false" customHeight="true" outlineLevel="0" collapsed="false">
      <c r="A4" s="4" t="s">
        <v>2</v>
      </c>
      <c r="B4" s="4" t="s">
        <v>3</v>
      </c>
      <c r="C4" s="4" t="s">
        <v>4</v>
      </c>
      <c r="D4" s="4" t="s">
        <v>5</v>
      </c>
    </row>
    <row r="5" customFormat="false" ht="15" hidden="false" customHeight="true" outlineLevel="0" collapsed="false">
      <c r="A5" s="5" t="s">
        <v>6</v>
      </c>
      <c r="B5" s="6" t="s">
        <v>7</v>
      </c>
      <c r="C5" s="6" t="s">
        <v>8</v>
      </c>
      <c r="D5" s="6" t="s">
        <v>9</v>
      </c>
    </row>
    <row r="6" customFormat="false" ht="15" hidden="false" customHeight="true" outlineLevel="0" collapsed="false">
      <c r="A6" s="7" t="s">
        <v>10</v>
      </c>
      <c r="B6" s="8" t="s">
        <v>11</v>
      </c>
      <c r="C6" s="8" t="s">
        <v>12</v>
      </c>
      <c r="D6" s="8" t="s">
        <v>13</v>
      </c>
    </row>
    <row r="7" customFormat="false" ht="15" hidden="false" customHeight="true" outlineLevel="0" collapsed="false">
      <c r="A7" s="5" t="s">
        <v>14</v>
      </c>
      <c r="B7" s="6" t="s">
        <v>15</v>
      </c>
      <c r="C7" s="6" t="s">
        <v>12</v>
      </c>
      <c r="D7" s="6" t="s">
        <v>16</v>
      </c>
    </row>
    <row r="8" customFormat="false" ht="15" hidden="false" customHeight="true" outlineLevel="0" collapsed="false">
      <c r="A8" s="7" t="s">
        <v>17</v>
      </c>
      <c r="B8" s="8" t="s">
        <v>18</v>
      </c>
      <c r="C8" s="8" t="s">
        <v>19</v>
      </c>
      <c r="D8" s="8" t="s">
        <v>20</v>
      </c>
    </row>
    <row r="9" customFormat="false" ht="15" hidden="false" customHeight="true" outlineLevel="0" collapsed="false">
      <c r="A9" s="5" t="s">
        <v>21</v>
      </c>
      <c r="B9" s="6" t="s">
        <v>22</v>
      </c>
      <c r="C9" s="6" t="s">
        <v>12</v>
      </c>
      <c r="D9" s="6" t="s">
        <v>23</v>
      </c>
    </row>
    <row r="10" customFormat="false" ht="15" hidden="false" customHeight="true" outlineLevel="0" collapsed="false">
      <c r="A10" s="7" t="s">
        <v>24</v>
      </c>
      <c r="B10" s="8" t="s">
        <v>25</v>
      </c>
      <c r="C10" s="8" t="s">
        <v>26</v>
      </c>
      <c r="D10" s="8" t="s">
        <v>27</v>
      </c>
    </row>
    <row r="11" customFormat="false" ht="15" hidden="false" customHeight="true" outlineLevel="0" collapsed="false">
      <c r="A11" s="5" t="s">
        <v>28</v>
      </c>
      <c r="B11" s="6" t="s">
        <v>29</v>
      </c>
      <c r="C11" s="6" t="s">
        <v>30</v>
      </c>
      <c r="D11" s="6" t="s">
        <v>31</v>
      </c>
    </row>
    <row r="12" customFormat="false" ht="15" hidden="false" customHeight="true" outlineLevel="0" collapsed="false">
      <c r="A12" s="7" t="s">
        <v>32</v>
      </c>
      <c r="B12" s="8" t="s">
        <v>33</v>
      </c>
      <c r="C12" s="8" t="s">
        <v>34</v>
      </c>
      <c r="D12" s="8" t="s">
        <v>35</v>
      </c>
    </row>
    <row r="13" customFormat="false" ht="15" hidden="false" customHeight="true" outlineLevel="0" collapsed="false">
      <c r="A13" s="5" t="s">
        <v>36</v>
      </c>
      <c r="B13" s="6" t="s">
        <v>37</v>
      </c>
      <c r="C13" s="6" t="s">
        <v>8</v>
      </c>
      <c r="D13" s="6" t="s">
        <v>38</v>
      </c>
    </row>
    <row r="15" customFormat="false" ht="27.75" hidden="false" customHeight="true" outlineLevel="0" collapsed="false">
      <c r="A15" s="9" t="s">
        <v>39</v>
      </c>
      <c r="B15" s="9"/>
      <c r="C15" s="9"/>
      <c r="D15" s="9"/>
      <c r="E15" s="9"/>
    </row>
  </sheetData>
  <mergeCells count="3">
    <mergeCell ref="A1:F1"/>
    <mergeCell ref="A2:F2"/>
    <mergeCell ref="A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14"/>
    <col collapsed="false" customWidth="true" hidden="false" outlineLevel="0" max="9" min="4" style="1" width="10"/>
    <col collapsed="false" customWidth="true" hidden="false" outlineLevel="0" max="10" min="10" style="1" width="28"/>
  </cols>
  <sheetData>
    <row r="1" customFormat="false" ht="30" hidden="false" customHeight="true" outlineLevel="0" collapsed="false">
      <c r="A1" s="2" t="s">
        <v>40</v>
      </c>
      <c r="B1" s="2"/>
      <c r="C1" s="2"/>
      <c r="D1" s="2"/>
      <c r="E1" s="2"/>
      <c r="F1" s="2"/>
      <c r="G1" s="2"/>
      <c r="H1" s="2"/>
      <c r="I1" s="2"/>
      <c r="J1" s="2"/>
    </row>
    <row r="3" customFormat="false" ht="15" hidden="false" customHeight="true" outlineLevel="0" collapsed="false">
      <c r="A3" s="10" t="s">
        <v>41</v>
      </c>
      <c r="B3" s="10"/>
      <c r="C3" s="10"/>
      <c r="D3" s="10"/>
      <c r="E3" s="10"/>
      <c r="F3" s="10"/>
      <c r="G3" s="10"/>
      <c r="H3" s="10"/>
      <c r="I3" s="10"/>
      <c r="J3" s="10"/>
    </row>
    <row r="4" customFormat="false" ht="27.75" hidden="false" customHeight="true" outlineLevel="0" collapsed="false">
      <c r="A4" s="9" t="s">
        <v>42</v>
      </c>
      <c r="B4" s="9"/>
      <c r="C4" s="9"/>
      <c r="D4" s="9"/>
      <c r="E4" s="9"/>
      <c r="F4" s="9"/>
      <c r="G4" s="9"/>
      <c r="H4" s="9"/>
      <c r="I4" s="9"/>
    </row>
    <row r="5" customFormat="false" ht="15" hidden="false" customHeight="true" outlineLevel="0" collapsed="false">
      <c r="A5" s="11" t="s">
        <v>43</v>
      </c>
      <c r="B5" s="12" t="n">
        <v>1200</v>
      </c>
      <c r="C5" s="13"/>
      <c r="D5" s="13"/>
      <c r="E5" s="13"/>
      <c r="F5" s="13"/>
      <c r="G5" s="13"/>
      <c r="H5" s="13"/>
      <c r="I5" s="13"/>
      <c r="J5" s="13"/>
    </row>
    <row r="6" customFormat="false" ht="15" hidden="false" customHeight="true" outlineLevel="0" collapsed="false">
      <c r="A6" s="11" t="s">
        <v>44</v>
      </c>
      <c r="B6" s="12" t="n">
        <v>12000</v>
      </c>
      <c r="C6" s="13"/>
      <c r="D6" s="13"/>
      <c r="E6" s="13"/>
      <c r="F6" s="13"/>
      <c r="G6" s="13"/>
      <c r="H6" s="13"/>
      <c r="I6" s="13"/>
      <c r="J6" s="13"/>
    </row>
    <row r="7" customFormat="false" ht="15" hidden="false" customHeight="true" outlineLevel="0" collapsed="false">
      <c r="A7" s="11" t="s">
        <v>45</v>
      </c>
      <c r="B7" s="12" t="n">
        <v>300</v>
      </c>
      <c r="C7" s="13"/>
      <c r="D7" s="13"/>
      <c r="E7" s="13"/>
      <c r="F7" s="13"/>
      <c r="G7" s="13"/>
      <c r="H7" s="13"/>
      <c r="I7" s="13"/>
      <c r="J7" s="13"/>
    </row>
    <row r="8" customFormat="false" ht="15" hidden="false" customHeight="true" outlineLevel="0" collapsed="false">
      <c r="A8" s="11" t="s">
        <v>46</v>
      </c>
      <c r="B8" s="14" t="n">
        <v>0.05</v>
      </c>
      <c r="C8" s="13"/>
      <c r="D8" s="13"/>
      <c r="E8" s="13"/>
      <c r="F8" s="13"/>
      <c r="G8" s="13"/>
      <c r="H8" s="13"/>
      <c r="I8" s="13"/>
      <c r="J8" s="13"/>
    </row>
    <row r="9" customFormat="false" ht="15" hidden="false" customHeight="true" outlineLevel="0" collapsed="false">
      <c r="A9" s="11" t="s">
        <v>47</v>
      </c>
      <c r="B9" s="15" t="n">
        <v>0.025</v>
      </c>
      <c r="C9" s="13"/>
      <c r="D9" s="13"/>
      <c r="E9" s="13"/>
      <c r="F9" s="13"/>
      <c r="G9" s="13"/>
      <c r="H9" s="13"/>
      <c r="I9" s="13"/>
      <c r="J9" s="13"/>
    </row>
    <row r="10" customFormat="false" ht="23.25" hidden="false" customHeight="true" outlineLevel="0" collapsed="false">
      <c r="A10" s="11" t="s">
        <v>48</v>
      </c>
      <c r="B10" s="14" t="n">
        <v>0.35</v>
      </c>
      <c r="C10" s="13"/>
      <c r="D10" s="13"/>
      <c r="E10" s="13"/>
      <c r="F10" s="13"/>
      <c r="G10" s="13"/>
      <c r="H10" s="13"/>
      <c r="I10" s="13"/>
      <c r="J10" s="13"/>
    </row>
    <row r="11" customFormat="false" ht="15" hidden="false" customHeight="true" outlineLevel="0" collapsed="false">
      <c r="A11" s="11" t="s">
        <v>49</v>
      </c>
      <c r="B11" s="15" t="n">
        <v>0.002</v>
      </c>
      <c r="C11" s="13"/>
      <c r="D11" s="13"/>
      <c r="E11" s="13"/>
      <c r="F11" s="13"/>
      <c r="G11" s="13"/>
      <c r="H11" s="13"/>
      <c r="I11" s="13"/>
      <c r="J11" s="13"/>
    </row>
    <row r="12" customFormat="false" ht="15" hidden="false" customHeight="true" outlineLevel="0" collapsed="false">
      <c r="A12" s="11" t="s">
        <v>50</v>
      </c>
      <c r="B12" s="14" t="n">
        <v>0.06</v>
      </c>
      <c r="C12" s="13"/>
      <c r="D12" s="13"/>
      <c r="E12" s="13"/>
      <c r="F12" s="13"/>
      <c r="G12" s="13"/>
      <c r="H12" s="13"/>
      <c r="I12" s="13"/>
      <c r="J12" s="13"/>
    </row>
    <row r="13" customFormat="false" ht="15" hidden="false" customHeight="true" outlineLevel="0" collapsed="false">
      <c r="A13" s="11" t="s">
        <v>51</v>
      </c>
      <c r="B13" s="14" t="n">
        <v>0.04</v>
      </c>
      <c r="C13" s="13"/>
      <c r="D13" s="13"/>
      <c r="E13" s="13"/>
      <c r="F13" s="13"/>
      <c r="G13" s="13"/>
      <c r="H13" s="13"/>
      <c r="I13" s="13"/>
      <c r="J13" s="13"/>
    </row>
    <row r="14" customFormat="false" ht="15" hidden="false" customHeight="true" outlineLevel="0" collapsed="false">
      <c r="A14" s="11" t="s">
        <v>52</v>
      </c>
      <c r="B14" s="14" t="n">
        <v>0.1</v>
      </c>
      <c r="C14" s="13"/>
      <c r="D14" s="13"/>
      <c r="E14" s="13"/>
      <c r="F14" s="13"/>
      <c r="G14" s="13"/>
      <c r="H14" s="13"/>
      <c r="I14" s="13"/>
      <c r="J14" s="13"/>
    </row>
    <row r="15" customFormat="false" ht="15" hidden="false" customHeight="true" outlineLevel="0" collapsed="false">
      <c r="A15" s="11" t="s">
        <v>53</v>
      </c>
      <c r="B15" s="14" t="n">
        <v>0.2</v>
      </c>
      <c r="C15" s="13"/>
      <c r="D15" s="13"/>
      <c r="E15" s="13"/>
      <c r="F15" s="13"/>
      <c r="G15" s="13"/>
      <c r="H15" s="13"/>
      <c r="I15" s="13"/>
      <c r="J15" s="13"/>
    </row>
    <row r="16" customFormat="false" ht="23.25" hidden="false" customHeight="true" outlineLevel="0" collapsed="false">
      <c r="A16" s="11" t="s">
        <v>54</v>
      </c>
      <c r="B16" s="14" t="n">
        <v>0.5</v>
      </c>
      <c r="C16" s="13"/>
      <c r="D16" s="13"/>
      <c r="E16" s="13"/>
      <c r="F16" s="13"/>
      <c r="G16" s="13"/>
      <c r="H16" s="13"/>
      <c r="I16" s="13"/>
      <c r="J16" s="13"/>
    </row>
    <row r="17" customFormat="false" ht="15" hidden="false" customHeight="true" outlineLevel="0" collapsed="false">
      <c r="A17" s="11" t="s">
        <v>55</v>
      </c>
      <c r="B17" s="16" t="n">
        <v>30</v>
      </c>
      <c r="C17" s="13"/>
      <c r="D17" s="13"/>
      <c r="E17" s="13"/>
      <c r="F17" s="13"/>
      <c r="G17" s="13"/>
      <c r="H17" s="13"/>
      <c r="I17" s="13"/>
      <c r="J17" s="13"/>
    </row>
    <row r="19" customFormat="false" ht="15" hidden="false" customHeight="true" outlineLevel="0" collapsed="false">
      <c r="A19" s="10" t="s">
        <v>56</v>
      </c>
      <c r="B19" s="10"/>
      <c r="C19" s="10"/>
      <c r="D19" s="10"/>
      <c r="E19" s="10"/>
      <c r="F19" s="10"/>
      <c r="G19" s="10"/>
      <c r="H19" s="10"/>
      <c r="I19" s="10"/>
      <c r="J19" s="10"/>
    </row>
    <row r="20" customFormat="false" ht="15" hidden="false" customHeight="true" outlineLevel="0" collapsed="false">
      <c r="A20" s="4" t="s">
        <v>57</v>
      </c>
      <c r="B20" s="4" t="s">
        <v>58</v>
      </c>
      <c r="C20" s="4" t="s">
        <v>59</v>
      </c>
      <c r="D20" s="4" t="s">
        <v>60</v>
      </c>
      <c r="E20" s="4" t="s">
        <v>61</v>
      </c>
      <c r="F20" s="4" t="s">
        <v>62</v>
      </c>
      <c r="G20" s="4" t="s">
        <v>63</v>
      </c>
      <c r="H20" s="4" t="s">
        <v>64</v>
      </c>
      <c r="I20" s="4" t="s">
        <v>65</v>
      </c>
      <c r="J20" s="4" t="s">
        <v>66</v>
      </c>
      <c r="K20" s="4" t="s">
        <v>67</v>
      </c>
    </row>
    <row r="21" customFormat="false" ht="15" hidden="false" customHeight="true" outlineLevel="0" collapsed="false">
      <c r="A21" s="17" t="s">
        <v>68</v>
      </c>
      <c r="B21" s="18" t="n">
        <f aca="false">1</f>
        <v>1</v>
      </c>
      <c r="C21" s="18" t="n">
        <f aca="false">B21*(1-$B$11-$B$12-$B$9+B22*$B$10)</f>
        <v>0.92175</v>
      </c>
      <c r="D21" s="18" t="n">
        <f aca="false">C21*(1-$B$11-$B$12-$B$9+C22*$B$10)</f>
        <v>0.854218274296875</v>
      </c>
      <c r="E21" s="18" t="n">
        <f aca="false">D21*(1-$B$11-$B$12-$B$9+D22*$B$10)</f>
        <v>0.793889016760855</v>
      </c>
      <c r="F21" s="18" t="n">
        <f aca="false">E21*(1-$B$11-$B$12-$B$9+E22*$B$10)</f>
        <v>0.738759346301476</v>
      </c>
      <c r="G21" s="18" t="n">
        <f aca="false">F21*(1-$B$11-$B$12-$B$9+F22*$B$10)</f>
        <v>0.687667767791285</v>
      </c>
      <c r="H21" s="18" t="n">
        <f aca="false">G21*(1-$B$11-$B$12-$B$9+G22*$B$10)</f>
        <v>0.639928706302989</v>
      </c>
      <c r="I21" s="18" t="n">
        <f aca="false">H21*(1-$B$11-$B$12-$B$9+H22*$B$10)</f>
        <v>0.595127373302053</v>
      </c>
      <c r="J21" s="18" t="n">
        <f aca="false">I21*(1-$B$11-$B$12-$B$9+I22*$B$10)</f>
        <v>0.553002449345995</v>
      </c>
      <c r="K21" s="18" t="n">
        <f aca="false">J21*(1-$B$11-$B$12-$B$9+J22*$B$10)</f>
        <v>0.513378365189511</v>
      </c>
    </row>
    <row r="22" customFormat="false" ht="15" hidden="false" customHeight="true" outlineLevel="0" collapsed="false">
      <c r="A22" s="17" t="s">
        <v>69</v>
      </c>
      <c r="B22" s="18" t="n">
        <f aca="false">B21*$B$9</f>
        <v>0.025</v>
      </c>
      <c r="C22" s="18" t="n">
        <f aca="false">B22*(1-$B$10-$B$11)+C21*$B$9</f>
        <v>0.03924375</v>
      </c>
      <c r="D22" s="18" t="n">
        <f aca="false">C22*(1-$B$10-$B$11)+D21*$B$9</f>
        <v>0.0467854068574219</v>
      </c>
      <c r="E22" s="18" t="n">
        <f aca="false">D22*(1-$B$10-$B$11)+E21*$B$9</f>
        <v>0.0501641690626308</v>
      </c>
      <c r="F22" s="18" t="n">
        <f aca="false">E22*(1-$B$10-$B$11)+F21*$B$9</f>
        <v>0.0509753652101216</v>
      </c>
      <c r="G22" s="18" t="n">
        <f aca="false">F22*(1-$B$10-$B$11)+G21*$B$9</f>
        <v>0.050223730850941</v>
      </c>
      <c r="H22" s="18" t="n">
        <f aca="false">G22*(1-$B$10-$B$11)+H21*$B$9</f>
        <v>0.0485431952489845</v>
      </c>
      <c r="I22" s="18" t="n">
        <f aca="false">H22*(1-$B$10-$B$11)+I21*$B$9</f>
        <v>0.0463341748538933</v>
      </c>
      <c r="J22" s="18" t="n">
        <f aca="false">I22*(1-$B$10-$B$11)+J21*$B$9</f>
        <v>0.0438496065389727</v>
      </c>
      <c r="K22" s="18" t="n">
        <f aca="false">J22*(1-$B$10-$B$11)+K21*$B$9</f>
        <v>0.0412490041669921</v>
      </c>
    </row>
    <row r="23" customFormat="false" ht="15" hidden="false" customHeight="true" outlineLevel="0" collapsed="false">
      <c r="A23" s="17" t="s">
        <v>70</v>
      </c>
      <c r="B23" s="19" t="n">
        <f aca="false">B21*$B$5</f>
        <v>1200</v>
      </c>
      <c r="C23" s="19" t="n">
        <f aca="false">C21*$B$5</f>
        <v>1106.1</v>
      </c>
      <c r="D23" s="19" t="n">
        <f aca="false">D21*$B$5</f>
        <v>1025.06192915625</v>
      </c>
      <c r="E23" s="19" t="n">
        <f aca="false">E21*$B$5</f>
        <v>952.666820113026</v>
      </c>
      <c r="F23" s="19" t="n">
        <f aca="false">F21*$B$5</f>
        <v>886.511215561771</v>
      </c>
      <c r="G23" s="19" t="n">
        <f aca="false">G21*$B$5</f>
        <v>825.201321349542</v>
      </c>
      <c r="H23" s="19" t="n">
        <f aca="false">H21*$B$5</f>
        <v>767.914447563587</v>
      </c>
      <c r="I23" s="19" t="n">
        <f aca="false">I21*$B$5</f>
        <v>714.152847962463</v>
      </c>
      <c r="J23" s="19" t="n">
        <f aca="false">J21*$B$5</f>
        <v>663.602939215193</v>
      </c>
      <c r="K23" s="19" t="n">
        <f aca="false">K21*$B$5</f>
        <v>616.054038227414</v>
      </c>
    </row>
    <row r="24" customFormat="false" ht="15" hidden="false" customHeight="true" outlineLevel="0" collapsed="false">
      <c r="A24" s="17" t="s">
        <v>71</v>
      </c>
      <c r="B24" s="19" t="n">
        <f aca="false">B22*$B$6</f>
        <v>300</v>
      </c>
      <c r="C24" s="19" t="n">
        <f aca="false">C22*$B$6</f>
        <v>470.925</v>
      </c>
      <c r="D24" s="19" t="n">
        <f aca="false">D22*$B$6</f>
        <v>561.424882289063</v>
      </c>
      <c r="E24" s="19" t="n">
        <f aca="false">E22*$B$6</f>
        <v>601.970028751569</v>
      </c>
      <c r="F24" s="19" t="n">
        <f aca="false">F22*$B$6</f>
        <v>611.70438252146</v>
      </c>
      <c r="G24" s="19" t="n">
        <f aca="false">G22*$B$6</f>
        <v>602.684770211291</v>
      </c>
      <c r="H24" s="19" t="n">
        <f aca="false">H22*$B$6</f>
        <v>582.518342987814</v>
      </c>
      <c r="I24" s="19" t="n">
        <f aca="false">I22*$B$6</f>
        <v>556.010098246719</v>
      </c>
      <c r="J24" s="19" t="n">
        <f aca="false">J22*$B$6</f>
        <v>526.195278467672</v>
      </c>
      <c r="K24" s="19" t="n">
        <f aca="false">K22*$B$6</f>
        <v>494.988050003905</v>
      </c>
    </row>
    <row r="25" customFormat="false" ht="15" hidden="false" customHeight="true" outlineLevel="0" collapsed="false">
      <c r="A25" s="17" t="s">
        <v>72</v>
      </c>
      <c r="B25" s="19" t="n">
        <f aca="false">$B$7</f>
        <v>300</v>
      </c>
      <c r="C25" s="19" t="n">
        <f aca="false">0</f>
        <v>0</v>
      </c>
      <c r="D25" s="19" t="n">
        <f aca="false">0</f>
        <v>0</v>
      </c>
      <c r="E25" s="19" t="n">
        <f aca="false">0</f>
        <v>0</v>
      </c>
      <c r="F25" s="19" t="n">
        <f aca="false">0</f>
        <v>0</v>
      </c>
      <c r="G25" s="19" t="n">
        <f aca="false">0</f>
        <v>0</v>
      </c>
      <c r="H25" s="19" t="n">
        <f aca="false">0</f>
        <v>0</v>
      </c>
      <c r="I25" s="19" t="n">
        <f aca="false">0</f>
        <v>0</v>
      </c>
      <c r="J25" s="19" t="n">
        <f aca="false">0</f>
        <v>0</v>
      </c>
      <c r="K25" s="19" t="n">
        <f aca="false">0</f>
        <v>0</v>
      </c>
    </row>
    <row r="26" customFormat="false" ht="15" hidden="false" customHeight="true" outlineLevel="0" collapsed="false">
      <c r="A26" s="17" t="s">
        <v>73</v>
      </c>
      <c r="B26" s="19" t="n">
        <f aca="false">B23*$B$8</f>
        <v>60</v>
      </c>
      <c r="C26" s="19" t="n">
        <f aca="false">C23*$B$8</f>
        <v>55.305</v>
      </c>
      <c r="D26" s="19" t="n">
        <f aca="false">D23*$B$8</f>
        <v>51.2530964578125</v>
      </c>
      <c r="E26" s="19" t="n">
        <f aca="false">E23*$B$8</f>
        <v>47.6333410056513</v>
      </c>
      <c r="F26" s="19" t="n">
        <f aca="false">F23*$B$8</f>
        <v>44.3255607780885</v>
      </c>
      <c r="G26" s="19" t="n">
        <f aca="false">G23*$B$8</f>
        <v>41.2600660674771</v>
      </c>
      <c r="H26" s="19" t="n">
        <f aca="false">H23*$B$8</f>
        <v>38.3957223781794</v>
      </c>
      <c r="I26" s="19" t="n">
        <f aca="false">I23*$B$8</f>
        <v>35.7076423981232</v>
      </c>
      <c r="J26" s="19" t="n">
        <f aca="false">J23*$B$8</f>
        <v>33.1801469607597</v>
      </c>
      <c r="K26" s="19" t="n">
        <f aca="false">K23*$B$8</f>
        <v>30.8027019113707</v>
      </c>
    </row>
    <row r="27" customFormat="false" ht="15" hidden="false" customHeight="true" outlineLevel="0" collapsed="false">
      <c r="A27" s="17" t="s">
        <v>74</v>
      </c>
      <c r="B27" s="19" t="n">
        <f aca="false">B21*$B$5*$B$16</f>
        <v>600</v>
      </c>
      <c r="C27" s="19" t="n">
        <f aca="false">C21*$B$5*$B$16-B21*$B$5*$B$16</f>
        <v>-46.95</v>
      </c>
      <c r="D27" s="19" t="n">
        <f aca="false">D21*$B$5*$B$16-C21*$B$5*$B$16</f>
        <v>-40.5190354218751</v>
      </c>
      <c r="E27" s="19" t="n">
        <f aca="false">E21*$B$5*$B$16-D21*$B$5*$B$16</f>
        <v>-36.1975545216118</v>
      </c>
      <c r="F27" s="19" t="n">
        <f aca="false">F21*$B$5*$B$16-E21*$B$5*$B$16</f>
        <v>-33.0778022756277</v>
      </c>
      <c r="G27" s="19" t="n">
        <f aca="false">G21*$B$5*$B$16-F21*$B$5*$B$16</f>
        <v>-30.6549471061143</v>
      </c>
      <c r="H27" s="19" t="n">
        <f aca="false">H21*$B$5*$B$16-G21*$B$5*$B$16</f>
        <v>-28.6434368929775</v>
      </c>
      <c r="I27" s="19" t="n">
        <f aca="false">I21*$B$5*$B$16-H21*$B$5*$B$16</f>
        <v>-26.8807998005619</v>
      </c>
      <c r="J27" s="19" t="n">
        <f aca="false">J21*$B$5*$B$16-I21*$B$5*$B$16</f>
        <v>-25.274954373635</v>
      </c>
      <c r="K27" s="19" t="n">
        <f aca="false">K21*$B$5*$B$16-J21*$B$5*$B$16</f>
        <v>-23.7744504938898</v>
      </c>
    </row>
    <row r="28" customFormat="false" ht="15" hidden="false" customHeight="true" outlineLevel="0" collapsed="false">
      <c r="A28" s="17" t="s">
        <v>75</v>
      </c>
      <c r="B28" s="19" t="n">
        <f aca="false">B27/2*$B$13</f>
        <v>12</v>
      </c>
      <c r="C28" s="19" t="n">
        <f aca="false">(B21*$B$5*$B$16+C21*$B$5*$B$16)/2*$B$13</f>
        <v>23.061</v>
      </c>
      <c r="D28" s="19" t="n">
        <f aca="false">(C21*$B$5*$B$16+D21*$B$5*$B$16)/2*$B$13</f>
        <v>21.3116192915625</v>
      </c>
      <c r="E28" s="19" t="n">
        <f aca="false">(D21*$B$5*$B$16+E21*$B$5*$B$16)/2*$B$13</f>
        <v>19.7772874926928</v>
      </c>
      <c r="F28" s="19" t="n">
        <f aca="false">(E21*$B$5*$B$16+F21*$B$5*$B$16)/2*$B$13</f>
        <v>18.391780356748</v>
      </c>
      <c r="G28" s="19" t="n">
        <f aca="false">(F21*$B$5*$B$16+G21*$B$5*$B$16)/2*$B$13</f>
        <v>17.1171253691131</v>
      </c>
      <c r="H28" s="19" t="n">
        <f aca="false">(G21*$B$5*$B$16+H21*$B$5*$B$16)/2*$B$13</f>
        <v>15.9311576891313</v>
      </c>
      <c r="I28" s="19" t="n">
        <f aca="false">(H21*$B$5*$B$16+I21*$B$5*$B$16)/2*$B$13</f>
        <v>14.8206729552605</v>
      </c>
      <c r="J28" s="19" t="n">
        <f aca="false">(I21*$B$5*$B$16+J21*$B$5*$B$16)/2*$B$13</f>
        <v>13.7775578717766</v>
      </c>
      <c r="K28" s="19" t="n">
        <f aca="false">(J21*$B$5*$B$16+K21*$B$5*$B$16)/2*$B$13</f>
        <v>12.7965697744261</v>
      </c>
    </row>
    <row r="29" customFormat="false" ht="15" hidden="false" customHeight="true" outlineLevel="0" collapsed="false">
      <c r="A29" s="20" t="s">
        <v>76</v>
      </c>
      <c r="B29" s="21" t="n">
        <f aca="false">B23-B24-B25-B26-B27+B28</f>
        <v>-48</v>
      </c>
      <c r="C29" s="21" t="n">
        <f aca="false">C23-C24-C25-C26-C27+C28</f>
        <v>649.881</v>
      </c>
      <c r="D29" s="21" t="n">
        <f aca="false">D23-D24-D25-D26-D27+D28</f>
        <v>474.214605122812</v>
      </c>
      <c r="E29" s="21" t="n">
        <f aca="false">E23-E24-E25-E26-E27+E28</f>
        <v>359.03829237011</v>
      </c>
      <c r="F29" s="21" t="n">
        <f aca="false">F23-F24-F25-F26-F27+F28</f>
        <v>281.950854894598</v>
      </c>
      <c r="G29" s="21" t="n">
        <f aca="false">G23-G24-G25-G26-G27+G28</f>
        <v>229.028557546001</v>
      </c>
      <c r="H29" s="21" t="n">
        <f aca="false">H23-H24-H25-H26-H27+H28</f>
        <v>191.574976779703</v>
      </c>
      <c r="I29" s="21" t="n">
        <f aca="false">I23-I24-I25-I26-I27+I28</f>
        <v>164.136580073443</v>
      </c>
      <c r="J29" s="21" t="n">
        <f aca="false">J23-J24-J25-J26-J27+J28</f>
        <v>143.280026032173</v>
      </c>
      <c r="K29" s="21" t="n">
        <f aca="false">K23-K24-K25-K26-K27+K28</f>
        <v>126.834306580454</v>
      </c>
    </row>
    <row r="30" customFormat="false" ht="15" hidden="false" customHeight="true" outlineLevel="0" collapsed="false">
      <c r="A30" s="17" t="s">
        <v>77</v>
      </c>
      <c r="B30" s="19" t="n">
        <f aca="false">MAX(0,B29*$B$15)</f>
        <v>0</v>
      </c>
      <c r="C30" s="19" t="n">
        <f aca="false">MAX(0,C29*$B$15)</f>
        <v>129.9762</v>
      </c>
      <c r="D30" s="19" t="n">
        <f aca="false">MAX(0,D29*$B$15)</f>
        <v>94.8429210245625</v>
      </c>
      <c r="E30" s="19" t="n">
        <f aca="false">MAX(0,E29*$B$15)</f>
        <v>71.8076584740221</v>
      </c>
      <c r="F30" s="19" t="n">
        <f aca="false">MAX(0,F29*$B$15)</f>
        <v>56.3901709789197</v>
      </c>
      <c r="G30" s="19" t="n">
        <f aca="false">MAX(0,G29*$B$15)</f>
        <v>45.8057115092002</v>
      </c>
      <c r="H30" s="19" t="n">
        <f aca="false">MAX(0,H29*$B$15)</f>
        <v>38.3149953559406</v>
      </c>
      <c r="I30" s="19" t="n">
        <f aca="false">MAX(0,I29*$B$15)</f>
        <v>32.8273160146887</v>
      </c>
      <c r="J30" s="19" t="n">
        <f aca="false">MAX(0,J29*$B$15)</f>
        <v>28.6560052064346</v>
      </c>
      <c r="K30" s="19" t="n">
        <f aca="false">MAX(0,K29*$B$15)</f>
        <v>25.3668613160908</v>
      </c>
    </row>
    <row r="31" customFormat="false" ht="15" hidden="false" customHeight="true" outlineLevel="0" collapsed="false">
      <c r="A31" s="22" t="s">
        <v>78</v>
      </c>
      <c r="B31" s="23" t="n">
        <f aca="false">B29-B30</f>
        <v>-48</v>
      </c>
      <c r="C31" s="23" t="n">
        <f aca="false">C29-C30</f>
        <v>519.9048</v>
      </c>
      <c r="D31" s="23" t="n">
        <f aca="false">D29-D30</f>
        <v>379.37168409825</v>
      </c>
      <c r="E31" s="23" t="n">
        <f aca="false">E29-E30</f>
        <v>287.230633896088</v>
      </c>
      <c r="F31" s="23" t="n">
        <f aca="false">F29-F30</f>
        <v>225.560683915679</v>
      </c>
      <c r="G31" s="23" t="n">
        <f aca="false">G29-G30</f>
        <v>183.222846036801</v>
      </c>
      <c r="H31" s="23" t="n">
        <f aca="false">H29-H30</f>
        <v>153.259981423762</v>
      </c>
      <c r="I31" s="23" t="n">
        <f aca="false">I29-I30</f>
        <v>131.309264058755</v>
      </c>
      <c r="J31" s="23" t="n">
        <f aca="false">J29-J30</f>
        <v>114.624020825738</v>
      </c>
      <c r="K31" s="23" t="n">
        <f aca="false">K29-K30</f>
        <v>101.467445264363</v>
      </c>
    </row>
    <row r="32" customFormat="false" ht="15" hidden="false" customHeight="true" outlineLevel="0" collapsed="false">
      <c r="A32" s="17" t="s">
        <v>79</v>
      </c>
      <c r="B32" s="24" t="n">
        <f aca="false">1/(1+$B$14)^1</f>
        <v>0.909090909090909</v>
      </c>
      <c r="C32" s="24" t="n">
        <f aca="false">1/(1+$B$14)^2</f>
        <v>0.826446280991735</v>
      </c>
      <c r="D32" s="24" t="n">
        <f aca="false">1/(1+$B$14)^3</f>
        <v>0.751314800901578</v>
      </c>
      <c r="E32" s="24" t="n">
        <f aca="false">1/(1+$B$14)^4</f>
        <v>0.683013455365071</v>
      </c>
      <c r="F32" s="24" t="n">
        <f aca="false">1/(1+$B$14)^5</f>
        <v>0.620921323059155</v>
      </c>
      <c r="G32" s="24" t="n">
        <f aca="false">1/(1+$B$14)^6</f>
        <v>0.564473930053777</v>
      </c>
      <c r="H32" s="24" t="n">
        <f aca="false">1/(1+$B$14)^7</f>
        <v>0.513158118230707</v>
      </c>
      <c r="I32" s="24" t="n">
        <f aca="false">1/(1+$B$14)^8</f>
        <v>0.466507380209733</v>
      </c>
      <c r="J32" s="24" t="n">
        <f aca="false">1/(1+$B$14)^9</f>
        <v>0.424097618372485</v>
      </c>
      <c r="K32" s="24" t="n">
        <f aca="false">1/(1+$B$14)^10</f>
        <v>0.385543289429531</v>
      </c>
    </row>
    <row r="33" customFormat="false" ht="15" hidden="false" customHeight="true" outlineLevel="0" collapsed="false">
      <c r="A33" s="20" t="s">
        <v>80</v>
      </c>
      <c r="B33" s="25" t="n">
        <f aca="false">B31*B32</f>
        <v>-43.6363636363636</v>
      </c>
      <c r="C33" s="25" t="n">
        <f aca="false">C31*C32</f>
        <v>429.673388429752</v>
      </c>
      <c r="D33" s="25" t="n">
        <f aca="false">D31*D32</f>
        <v>285.027561305973</v>
      </c>
      <c r="E33" s="25" t="n">
        <f aca="false">E31*E32</f>
        <v>196.182387744067</v>
      </c>
      <c r="F33" s="25" t="n">
        <f aca="false">F31*F32</f>
        <v>140.055438287051</v>
      </c>
      <c r="G33" s="25" t="n">
        <f aca="false">G31*G32</f>
        <v>103.424519978031</v>
      </c>
      <c r="H33" s="25" t="n">
        <f aca="false">H31*H32</f>
        <v>78.6466036674909</v>
      </c>
      <c r="I33" s="25" t="n">
        <f aca="false">I31*I32</f>
        <v>61.2567407733178</v>
      </c>
      <c r="J33" s="25" t="n">
        <f aca="false">J31*J32</f>
        <v>48.6117742404737</v>
      </c>
      <c r="K33" s="25" t="n">
        <f aca="false">K31*K32</f>
        <v>39.1200926172335</v>
      </c>
    </row>
    <row r="35" customFormat="false" ht="15" hidden="false" customHeight="true" outlineLevel="0" collapsed="false">
      <c r="A35" s="26" t="s">
        <v>81</v>
      </c>
      <c r="B35" s="26"/>
      <c r="C35" s="26"/>
      <c r="D35" s="26"/>
      <c r="E35" s="26"/>
      <c r="F35" s="26"/>
      <c r="G35" s="26"/>
      <c r="H35" s="26"/>
      <c r="I35" s="26"/>
      <c r="J35" s="26"/>
    </row>
    <row r="36" customFormat="false" ht="15" hidden="false" customHeight="true" outlineLevel="0" collapsed="false">
      <c r="A36" s="4" t="s">
        <v>82</v>
      </c>
      <c r="B36" s="4" t="s">
        <v>83</v>
      </c>
      <c r="C36" s="4" t="s">
        <v>84</v>
      </c>
    </row>
    <row r="37" customFormat="false" ht="32.25" hidden="false" customHeight="true" outlineLevel="0" collapsed="false">
      <c r="A37" s="27" t="s">
        <v>85</v>
      </c>
      <c r="B37" s="23" t="n">
        <f aca="false">SUM(C33:L33)</f>
        <v>1381.99850704339</v>
      </c>
      <c r="C37" s="28" t="s">
        <v>86</v>
      </c>
    </row>
    <row r="38" customFormat="false" ht="21.75" hidden="false" customHeight="true" outlineLevel="0" collapsed="false">
      <c r="A38" s="27" t="s">
        <v>87</v>
      </c>
      <c r="B38" s="25" t="n">
        <f aca="false">SUM(C31:L31)</f>
        <v>2095.95135951944</v>
      </c>
      <c r="C38" s="28" t="s">
        <v>88</v>
      </c>
    </row>
    <row r="39" customFormat="false" ht="32.25" hidden="false" customHeight="true" outlineLevel="0" collapsed="false">
      <c r="A39" s="27" t="s">
        <v>89</v>
      </c>
      <c r="B39" s="29" t="n">
        <f aca="false">SUM(C31:L31)/($B$5*$B$16)*100</f>
        <v>349.325226586573</v>
      </c>
      <c r="C39" s="28" t="s">
        <v>90</v>
      </c>
    </row>
    <row r="40" customFormat="false" ht="32.25" hidden="false" customHeight="true" outlineLevel="0" collapsed="false">
      <c r="A40" s="27" t="s">
        <v>91</v>
      </c>
      <c r="B40" s="30" t="n">
        <f aca="false">SUM(C31:L31)/SUM(C23:L23)</f>
        <v>0.277342557716787</v>
      </c>
      <c r="C40" s="28" t="s">
        <v>92</v>
      </c>
    </row>
    <row r="42" customFormat="false" ht="27.75" hidden="false" customHeight="true" outlineLevel="0" collapsed="false">
      <c r="A42" s="9" t="s">
        <v>93</v>
      </c>
      <c r="B42" s="9"/>
      <c r="C42" s="9"/>
      <c r="D42" s="9"/>
      <c r="E42" s="9"/>
      <c r="F42" s="9"/>
      <c r="G42" s="9"/>
      <c r="H42" s="9"/>
      <c r="I42" s="9"/>
    </row>
  </sheetData>
  <mergeCells count="6">
    <mergeCell ref="A1:J1"/>
    <mergeCell ref="A3:J3"/>
    <mergeCell ref="A4:I4"/>
    <mergeCell ref="A19:J19"/>
    <mergeCell ref="A35:J35"/>
    <mergeCell ref="A42:I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9" min="2" style="1" width="12"/>
    <col collapsed="false" customWidth="true" hidden="false" outlineLevel="0" max="10" min="10" style="1" width="20"/>
  </cols>
  <sheetData>
    <row r="1" customFormat="false" ht="30" hidden="false" customHeight="true" outlineLevel="0" collapsed="false">
      <c r="A1" s="2" t="s">
        <v>94</v>
      </c>
      <c r="B1" s="2"/>
      <c r="C1" s="2"/>
      <c r="D1" s="2"/>
      <c r="E1" s="2"/>
      <c r="F1" s="2"/>
      <c r="G1" s="2"/>
      <c r="H1" s="2"/>
      <c r="I1" s="2"/>
      <c r="J1" s="2"/>
    </row>
    <row r="3" customFormat="false" ht="15" hidden="false" customHeight="true" outlineLevel="0" collapsed="false">
      <c r="A3" s="10" t="s">
        <v>95</v>
      </c>
      <c r="B3" s="10"/>
      <c r="C3" s="10"/>
      <c r="D3" s="10"/>
      <c r="E3" s="10"/>
      <c r="F3" s="10"/>
      <c r="G3" s="10"/>
      <c r="H3" s="10"/>
      <c r="I3" s="10"/>
      <c r="J3" s="10"/>
    </row>
    <row r="4" customFormat="false" ht="27.75" hidden="false" customHeight="true" outlineLevel="0" collapsed="false">
      <c r="A4" s="9" t="s">
        <v>96</v>
      </c>
      <c r="B4" s="9"/>
      <c r="C4" s="9"/>
      <c r="D4" s="9"/>
      <c r="E4" s="9"/>
      <c r="F4" s="9"/>
      <c r="G4" s="9"/>
      <c r="H4" s="9"/>
      <c r="I4" s="9"/>
    </row>
    <row r="5" customFormat="false" ht="15" hidden="false" customHeight="true" outlineLevel="0" collapsed="false">
      <c r="A5" s="11" t="s">
        <v>97</v>
      </c>
      <c r="B5" s="12" t="n">
        <v>1200</v>
      </c>
      <c r="C5" s="13"/>
      <c r="D5" s="13"/>
      <c r="E5" s="13"/>
      <c r="F5" s="13"/>
      <c r="G5" s="13"/>
      <c r="H5" s="13"/>
      <c r="I5" s="13"/>
      <c r="J5" s="13"/>
    </row>
    <row r="6" customFormat="false" ht="15" hidden="false" customHeight="true" outlineLevel="0" collapsed="false">
      <c r="A6" s="11" t="s">
        <v>44</v>
      </c>
      <c r="B6" s="12" t="n">
        <v>12000</v>
      </c>
      <c r="C6" s="13"/>
      <c r="D6" s="13"/>
      <c r="E6" s="13"/>
      <c r="F6" s="13"/>
      <c r="G6" s="13"/>
      <c r="H6" s="13"/>
      <c r="I6" s="13"/>
      <c r="J6" s="13"/>
    </row>
    <row r="7" customFormat="false" ht="15" hidden="false" customHeight="true" outlineLevel="0" collapsed="false">
      <c r="A7" s="11" t="s">
        <v>46</v>
      </c>
      <c r="B7" s="14" t="n">
        <v>0.05</v>
      </c>
      <c r="C7" s="13"/>
      <c r="D7" s="13"/>
      <c r="E7" s="13"/>
      <c r="F7" s="13"/>
      <c r="G7" s="13"/>
      <c r="H7" s="13"/>
      <c r="I7" s="13"/>
      <c r="J7" s="13"/>
    </row>
    <row r="8" customFormat="false" ht="15" hidden="false" customHeight="true" outlineLevel="0" collapsed="false">
      <c r="A8" s="11" t="s">
        <v>98</v>
      </c>
      <c r="B8" s="15" t="n">
        <v>0.025</v>
      </c>
      <c r="C8" s="13"/>
      <c r="D8" s="13"/>
      <c r="E8" s="13"/>
      <c r="F8" s="13"/>
      <c r="G8" s="13"/>
      <c r="H8" s="13"/>
      <c r="I8" s="13"/>
      <c r="J8" s="13"/>
    </row>
    <row r="9" customFormat="false" ht="15" hidden="false" customHeight="true" outlineLevel="0" collapsed="false">
      <c r="A9" s="11" t="s">
        <v>99</v>
      </c>
      <c r="B9" s="14" t="n">
        <v>0.35</v>
      </c>
      <c r="C9" s="13"/>
      <c r="D9" s="13"/>
      <c r="E9" s="13"/>
      <c r="F9" s="13"/>
      <c r="G9" s="13"/>
      <c r="H9" s="13"/>
      <c r="I9" s="13"/>
      <c r="J9" s="13"/>
    </row>
    <row r="10" customFormat="false" ht="15" hidden="false" customHeight="true" outlineLevel="0" collapsed="false">
      <c r="A10" s="11" t="s">
        <v>100</v>
      </c>
      <c r="B10" s="15" t="n">
        <v>0.002</v>
      </c>
      <c r="C10" s="13"/>
      <c r="D10" s="13"/>
      <c r="E10" s="13"/>
      <c r="F10" s="13"/>
      <c r="G10" s="13"/>
      <c r="H10" s="13"/>
      <c r="I10" s="13"/>
      <c r="J10" s="13"/>
    </row>
    <row r="11" customFormat="false" ht="15" hidden="false" customHeight="true" outlineLevel="0" collapsed="false">
      <c r="A11" s="11" t="s">
        <v>101</v>
      </c>
      <c r="B11" s="14" t="n">
        <v>0.06</v>
      </c>
      <c r="C11" s="13"/>
      <c r="D11" s="13"/>
      <c r="E11" s="13"/>
      <c r="F11" s="13"/>
      <c r="G11" s="13"/>
      <c r="H11" s="13"/>
      <c r="I11" s="13"/>
      <c r="J11" s="13"/>
    </row>
    <row r="12" customFormat="false" ht="15" hidden="false" customHeight="true" outlineLevel="0" collapsed="false">
      <c r="A12" s="11" t="s">
        <v>102</v>
      </c>
      <c r="B12" s="14" t="n">
        <v>0.035</v>
      </c>
      <c r="C12" s="13"/>
      <c r="D12" s="13"/>
      <c r="E12" s="13"/>
      <c r="F12" s="13"/>
      <c r="G12" s="13"/>
      <c r="H12" s="13"/>
      <c r="I12" s="13"/>
      <c r="J12" s="13"/>
    </row>
    <row r="13" customFormat="false" ht="15" hidden="false" customHeight="true" outlineLevel="0" collapsed="false">
      <c r="A13" s="11" t="s">
        <v>103</v>
      </c>
      <c r="B13" s="16" t="n">
        <v>20</v>
      </c>
      <c r="C13" s="13"/>
      <c r="D13" s="13"/>
      <c r="E13" s="13"/>
      <c r="F13" s="13"/>
      <c r="G13" s="13"/>
      <c r="H13" s="13"/>
      <c r="I13" s="13"/>
      <c r="J13" s="13"/>
    </row>
    <row r="14" customFormat="false" ht="15" hidden="false" customHeight="true" outlineLevel="0" collapsed="false">
      <c r="A14" s="11" t="s">
        <v>104</v>
      </c>
      <c r="B14" s="14" t="n">
        <v>0.1</v>
      </c>
      <c r="C14" s="13"/>
      <c r="D14" s="13"/>
      <c r="E14" s="13"/>
      <c r="F14" s="13"/>
      <c r="G14" s="13"/>
      <c r="H14" s="13"/>
      <c r="I14" s="13"/>
      <c r="J14" s="13"/>
    </row>
    <row r="16" customFormat="false" ht="15" hidden="false" customHeight="true" outlineLevel="0" collapsed="false">
      <c r="A16" s="10" t="s">
        <v>105</v>
      </c>
      <c r="B16" s="10"/>
      <c r="C16" s="10"/>
      <c r="D16" s="10"/>
      <c r="E16" s="10"/>
      <c r="F16" s="10"/>
      <c r="G16" s="10"/>
      <c r="H16" s="10"/>
      <c r="I16" s="10"/>
      <c r="J16" s="10"/>
    </row>
    <row r="17" customFormat="false" ht="15" hidden="false" customHeight="true" outlineLevel="0" collapsed="false">
      <c r="A17" s="4" t="s">
        <v>106</v>
      </c>
      <c r="B17" s="4" t="s">
        <v>107</v>
      </c>
      <c r="C17" s="4" t="s">
        <v>108</v>
      </c>
      <c r="D17" s="4" t="s">
        <v>109</v>
      </c>
      <c r="E17" s="4" t="s">
        <v>110</v>
      </c>
      <c r="F17" s="4" t="s">
        <v>111</v>
      </c>
      <c r="G17" s="4" t="s">
        <v>112</v>
      </c>
      <c r="H17" s="4" t="s">
        <v>113</v>
      </c>
    </row>
    <row r="18" customFormat="false" ht="15" hidden="false" customHeight="true" outlineLevel="0" collapsed="false">
      <c r="A18" s="31" t="n">
        <v>1</v>
      </c>
      <c r="B18" s="24" t="n">
        <f aca="false">(1-$B$7-$B$8-$B$11)^1</f>
        <v>0.865</v>
      </c>
      <c r="C18" s="24" t="n">
        <f aca="false">1/(1+$B$12)^0</f>
        <v>1</v>
      </c>
      <c r="D18" s="19" t="n">
        <f aca="false">B18*$B$8*(1+$B$14)*$B$6*C18</f>
        <v>285.45</v>
      </c>
      <c r="E18" s="19" t="n">
        <f aca="false">B18*$B$5*$B$9*C18</f>
        <v>363.3</v>
      </c>
      <c r="F18" s="19" t="n">
        <f aca="false">B18*$B$5*C18</f>
        <v>1038</v>
      </c>
      <c r="G18" s="21" t="n">
        <f aca="false">D18+E18-F18</f>
        <v>-389.25</v>
      </c>
      <c r="H18" s="23" t="n">
        <f aca="false">G18</f>
        <v>-389.25</v>
      </c>
    </row>
    <row r="19" customFormat="false" ht="15" hidden="false" customHeight="true" outlineLevel="0" collapsed="false">
      <c r="A19" s="31" t="n">
        <v>2</v>
      </c>
      <c r="B19" s="24" t="n">
        <f aca="false">(1-$B$7-$B$8-$B$11)^2</f>
        <v>0.748225</v>
      </c>
      <c r="C19" s="24" t="n">
        <f aca="false">1/(1+$B$12)^1</f>
        <v>0.966183574879227</v>
      </c>
      <c r="D19" s="19" t="n">
        <f aca="false">B19*$B$8*(1+$B$14)*$B$6*C19</f>
        <v>238.564492753623</v>
      </c>
      <c r="E19" s="19" t="n">
        <f aca="false">B19*$B$5*$B$9*C19</f>
        <v>303.627536231884</v>
      </c>
      <c r="F19" s="19" t="n">
        <f aca="false">B19*$B$5*C19</f>
        <v>867.507246376812</v>
      </c>
      <c r="G19" s="21" t="n">
        <f aca="false">D19+E19-F19</f>
        <v>-325.315217391304</v>
      </c>
      <c r="H19" s="23" t="n">
        <f aca="false">H18+G19</f>
        <v>-714.565217391304</v>
      </c>
    </row>
    <row r="20" customFormat="false" ht="15" hidden="false" customHeight="true" outlineLevel="0" collapsed="false">
      <c r="A20" s="31" t="n">
        <v>3</v>
      </c>
      <c r="B20" s="24" t="n">
        <f aca="false">(1-$B$7-$B$8-$B$11)^3</f>
        <v>0.647214625</v>
      </c>
      <c r="C20" s="24" t="n">
        <f aca="false">1/(1+$B$12)^2</f>
        <v>0.933510700366403</v>
      </c>
      <c r="D20" s="19" t="n">
        <f aca="false">B20*$B$8*(1+$B$14)*$B$6*C20</f>
        <v>199.379986697473</v>
      </c>
      <c r="E20" s="19" t="n">
        <f aca="false">B20*$B$5*$B$9*C20</f>
        <v>253.756346705874</v>
      </c>
      <c r="F20" s="19" t="n">
        <f aca="false">B20*$B$5*C20</f>
        <v>725.018133445355</v>
      </c>
      <c r="G20" s="21" t="n">
        <f aca="false">D20+E20-F20</f>
        <v>-271.881800042008</v>
      </c>
      <c r="H20" s="23" t="n">
        <f aca="false">H19+G20</f>
        <v>-986.447017433312</v>
      </c>
    </row>
    <row r="21" customFormat="false" ht="15" hidden="false" customHeight="true" outlineLevel="0" collapsed="false">
      <c r="A21" s="31" t="n">
        <v>4</v>
      </c>
      <c r="B21" s="24" t="n">
        <f aca="false">(1-$B$7-$B$8-$B$11)^4</f>
        <v>0.559840650625</v>
      </c>
      <c r="C21" s="24" t="n">
        <f aca="false">1/(1+$B$12)^3</f>
        <v>0.901942705668022</v>
      </c>
      <c r="D21" s="19" t="n">
        <f aca="false">B21*$B$8*(1+$B$14)*$B$6*C21</f>
        <v>166.631583085327</v>
      </c>
      <c r="E21" s="19" t="n">
        <f aca="false">B21*$B$5*$B$9*C21</f>
        <v>212.076560290417</v>
      </c>
      <c r="F21" s="19" t="n">
        <f aca="false">B21*$B$5*C21</f>
        <v>605.93302940119</v>
      </c>
      <c r="G21" s="21" t="n">
        <f aca="false">D21+E21-F21</f>
        <v>-227.224886025446</v>
      </c>
      <c r="H21" s="23" t="n">
        <f aca="false">H20+G21</f>
        <v>-1213.67190345876</v>
      </c>
    </row>
    <row r="22" customFormat="false" ht="15" hidden="false" customHeight="true" outlineLevel="0" collapsed="false">
      <c r="A22" s="31" t="n">
        <v>5</v>
      </c>
      <c r="B22" s="24" t="n">
        <f aca="false">(1-$B$7-$B$8-$B$11)^5</f>
        <v>0.484262162790625</v>
      </c>
      <c r="C22" s="24" t="n">
        <f aca="false">1/(1+$B$12)^4</f>
        <v>0.871442227698572</v>
      </c>
      <c r="D22" s="19" t="n">
        <f aca="false">B22*$B$8*(1+$B$14)*$B$6*C22</f>
        <v>139.262144317689</v>
      </c>
      <c r="E22" s="19" t="n">
        <f aca="false">B22*$B$5*$B$9*C22</f>
        <v>177.242729131604</v>
      </c>
      <c r="F22" s="19" t="n">
        <f aca="false">B22*$B$5*C22</f>
        <v>506.407797518869</v>
      </c>
      <c r="G22" s="21" t="n">
        <f aca="false">D22+E22-F22</f>
        <v>-189.902924069576</v>
      </c>
      <c r="H22" s="23" t="n">
        <f aca="false">H21+G22</f>
        <v>-1403.57482752833</v>
      </c>
    </row>
    <row r="23" customFormat="false" ht="15" hidden="false" customHeight="true" outlineLevel="0" collapsed="false">
      <c r="A23" s="31" t="n">
        <v>6</v>
      </c>
      <c r="B23" s="24" t="n">
        <f aca="false">(1-$B$7-$B$8-$B$11)^6</f>
        <v>0.418886770813891</v>
      </c>
      <c r="C23" s="24" t="n">
        <f aca="false">1/(1+$B$12)^5</f>
        <v>0.841973166858524</v>
      </c>
      <c r="D23" s="19" t="n">
        <f aca="false">B23*$B$8*(1+$B$14)*$B$6*C23</f>
        <v>116.388168922513</v>
      </c>
      <c r="E23" s="19" t="n">
        <f aca="false">B23*$B$5*$B$9*C23</f>
        <v>148.130396810471</v>
      </c>
      <c r="F23" s="19" t="n">
        <f aca="false">B23*$B$5*C23</f>
        <v>423.229705172775</v>
      </c>
      <c r="G23" s="21" t="n">
        <f aca="false">D23+E23-F23</f>
        <v>-158.711139439791</v>
      </c>
      <c r="H23" s="23" t="n">
        <f aca="false">H22+G23</f>
        <v>-1562.28596696813</v>
      </c>
    </row>
    <row r="24" customFormat="false" ht="15" hidden="false" customHeight="true" outlineLevel="0" collapsed="false">
      <c r="A24" s="31" t="n">
        <v>7</v>
      </c>
      <c r="B24" s="24" t="n">
        <f aca="false">(1-$B$7-$B$8-$B$11)^7</f>
        <v>0.362337056754015</v>
      </c>
      <c r="C24" s="24" t="n">
        <f aca="false">1/(1+$B$12)^6</f>
        <v>0.813500644307753</v>
      </c>
      <c r="D24" s="19" t="n">
        <f aca="false">B24*$B$8*(1+$B$14)*$B$6*C24</f>
        <v>97.2712716115689</v>
      </c>
      <c r="E24" s="19" t="n">
        <f aca="false">B24*$B$5*$B$9*C24</f>
        <v>123.799800232906</v>
      </c>
      <c r="F24" s="19" t="n">
        <f aca="false">B24*$B$5*C24</f>
        <v>353.71371495116</v>
      </c>
      <c r="G24" s="21" t="n">
        <f aca="false">D24+E24-F24</f>
        <v>-132.642643106685</v>
      </c>
      <c r="H24" s="23" t="n">
        <f aca="false">H23+G24</f>
        <v>-1694.92861007481</v>
      </c>
    </row>
    <row r="25" customFormat="false" ht="15" hidden="false" customHeight="true" outlineLevel="0" collapsed="false">
      <c r="A25" s="31" t="n">
        <v>8</v>
      </c>
      <c r="B25" s="24" t="n">
        <f aca="false">(1-$B$7-$B$8-$B$11)^8</f>
        <v>0.313421554092223</v>
      </c>
      <c r="C25" s="24" t="n">
        <f aca="false">1/(1+$B$12)^7</f>
        <v>0.785990960683819</v>
      </c>
      <c r="D25" s="19" t="n">
        <f aca="false">B25*$B$8*(1+$B$14)*$B$6*C25</f>
        <v>81.2943477719875</v>
      </c>
      <c r="E25" s="19" t="n">
        <f aca="false">B25*$B$5*$B$9*C25</f>
        <v>103.465533527984</v>
      </c>
      <c r="F25" s="19" t="n">
        <f aca="false">B25*$B$5*C25</f>
        <v>295.615810079955</v>
      </c>
      <c r="G25" s="21" t="n">
        <f aca="false">D25+E25-F25</f>
        <v>-110.855928779983</v>
      </c>
      <c r="H25" s="23" t="n">
        <f aca="false">H24+G25</f>
        <v>-1805.78453885479</v>
      </c>
    </row>
    <row r="26" customFormat="false" ht="15" hidden="false" customHeight="true" outlineLevel="0" collapsed="false">
      <c r="A26" s="31" t="n">
        <v>9</v>
      </c>
      <c r="B26" s="24" t="n">
        <f aca="false">(1-$B$7-$B$8-$B$11)^9</f>
        <v>0.271109644289773</v>
      </c>
      <c r="C26" s="24" t="n">
        <f aca="false">1/(1+$B$12)^8</f>
        <v>0.759411556216251</v>
      </c>
      <c r="D26" s="19" t="n">
        <f aca="false">B26*$B$8*(1+$B$14)*$B$6*C26</f>
        <v>67.9416529688592</v>
      </c>
      <c r="E26" s="19" t="n">
        <f aca="false">B26*$B$5*$B$9*C26</f>
        <v>86.4711946876389</v>
      </c>
      <c r="F26" s="19" t="n">
        <f aca="false">B26*$B$5*C26</f>
        <v>247.060556250397</v>
      </c>
      <c r="G26" s="21" t="n">
        <f aca="false">D26+E26-F26</f>
        <v>-92.6477085938988</v>
      </c>
      <c r="H26" s="23" t="n">
        <f aca="false">H25+G26</f>
        <v>-1898.43224744869</v>
      </c>
    </row>
    <row r="27" customFormat="false" ht="15" hidden="false" customHeight="true" outlineLevel="0" collapsed="false">
      <c r="A27" s="31" t="n">
        <v>10</v>
      </c>
      <c r="B27" s="24" t="n">
        <f aca="false">(1-$B$7-$B$8-$B$11)^10</f>
        <v>0.234509842310654</v>
      </c>
      <c r="C27" s="24" t="n">
        <f aca="false">1/(1+$B$12)^9</f>
        <v>0.733730972189614</v>
      </c>
      <c r="D27" s="19" t="n">
        <f aca="false">B27*$B$8*(1+$B$14)*$B$6*C27</f>
        <v>56.7821544135876</v>
      </c>
      <c r="E27" s="19" t="n">
        <f aca="false">B27*$B$5*$B$9*C27</f>
        <v>72.2681965263842</v>
      </c>
      <c r="F27" s="19" t="n">
        <f aca="false">B27*$B$5*C27</f>
        <v>206.480561503955</v>
      </c>
      <c r="G27" s="21" t="n">
        <f aca="false">D27+E27-F27</f>
        <v>-77.4302105639831</v>
      </c>
      <c r="H27" s="23" t="n">
        <f aca="false">H26+G27</f>
        <v>-1975.86245801268</v>
      </c>
    </row>
    <row r="29" customFormat="false" ht="15" hidden="false" customHeight="true" outlineLevel="0" collapsed="false">
      <c r="A29" s="26" t="s">
        <v>114</v>
      </c>
      <c r="B29" s="26"/>
      <c r="C29" s="26"/>
      <c r="D29" s="26"/>
      <c r="E29" s="26"/>
      <c r="F29" s="26"/>
      <c r="G29" s="26"/>
      <c r="H29" s="26"/>
      <c r="I29" s="26"/>
      <c r="J29" s="26"/>
    </row>
    <row r="30" customFormat="false" ht="15" hidden="false" customHeight="true" outlineLevel="0" collapsed="false">
      <c r="A30" s="4" t="s">
        <v>115</v>
      </c>
      <c r="B30" s="4" t="s">
        <v>83</v>
      </c>
      <c r="C30" s="4" t="s">
        <v>116</v>
      </c>
    </row>
    <row r="31" customFormat="false" ht="42.75" hidden="false" customHeight="true" outlineLevel="0" collapsed="false">
      <c r="A31" s="27" t="s">
        <v>117</v>
      </c>
      <c r="B31" s="23" t="n">
        <f aca="false">SUM(H18:H27)</f>
        <v>-13644.8027871708</v>
      </c>
      <c r="C31" s="28" t="s">
        <v>118</v>
      </c>
    </row>
    <row r="32" customFormat="false" ht="42.75" hidden="false" customHeight="true" outlineLevel="0" collapsed="false">
      <c r="A32" s="27" t="s">
        <v>119</v>
      </c>
      <c r="B32" s="25" t="n">
        <f aca="false">SUM(G18:G27)</f>
        <v>-1975.86245801267</v>
      </c>
      <c r="C32" s="28" t="s">
        <v>120</v>
      </c>
    </row>
    <row r="33" customFormat="false" ht="32.25" hidden="false" customHeight="true" outlineLevel="0" collapsed="false">
      <c r="A33" s="27" t="s">
        <v>121</v>
      </c>
      <c r="B33" s="25" t="n">
        <f aca="false">B31-B32</f>
        <v>-11668.9403291581</v>
      </c>
      <c r="C33" s="28" t="s">
        <v>122</v>
      </c>
    </row>
    <row r="34" customFormat="false" ht="42.75" hidden="false" customHeight="true" outlineLevel="0" collapsed="false">
      <c r="A34" s="27" t="s">
        <v>123</v>
      </c>
      <c r="B34" s="30" t="n">
        <f aca="false">B33/B32</f>
        <v>5.90574525156714</v>
      </c>
      <c r="C34" s="28" t="s">
        <v>124</v>
      </c>
    </row>
    <row r="36" customFormat="false" ht="27.75" hidden="false" customHeight="true" outlineLevel="0" collapsed="false">
      <c r="A36" s="9" t="s">
        <v>125</v>
      </c>
      <c r="B36" s="9"/>
      <c r="C36" s="9"/>
      <c r="D36" s="9"/>
      <c r="E36" s="9"/>
      <c r="F36" s="9"/>
      <c r="G36" s="9"/>
      <c r="H36" s="9"/>
      <c r="I36" s="9"/>
    </row>
  </sheetData>
  <mergeCells count="6">
    <mergeCell ref="A1:J1"/>
    <mergeCell ref="A3:J3"/>
    <mergeCell ref="A4:I4"/>
    <mergeCell ref="A16:J16"/>
    <mergeCell ref="A29:J29"/>
    <mergeCell ref="A36:I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7" min="2" style="1" width="14"/>
    <col collapsed="false" customWidth="true" hidden="false" outlineLevel="0" max="8" min="8" style="1" width="24"/>
  </cols>
  <sheetData>
    <row r="1" customFormat="false" ht="30" hidden="false" customHeight="true" outlineLevel="0" collapsed="false">
      <c r="A1" s="2" t="s">
        <v>126</v>
      </c>
      <c r="B1" s="2"/>
      <c r="C1" s="2"/>
      <c r="D1" s="2"/>
      <c r="E1" s="2"/>
      <c r="F1" s="2"/>
      <c r="G1" s="2"/>
      <c r="H1" s="2"/>
    </row>
    <row r="3" customFormat="false" ht="15" hidden="false" customHeight="true" outlineLevel="0" collapsed="false">
      <c r="A3" s="10" t="s">
        <v>95</v>
      </c>
      <c r="B3" s="10"/>
      <c r="C3" s="10"/>
      <c r="D3" s="10"/>
      <c r="E3" s="10"/>
      <c r="F3" s="10"/>
      <c r="G3" s="10"/>
      <c r="H3" s="10"/>
    </row>
    <row r="4" customFormat="false" ht="27.75" hidden="false" customHeight="true" outlineLevel="0" collapsed="false">
      <c r="A4" s="9" t="s">
        <v>127</v>
      </c>
      <c r="B4" s="9"/>
      <c r="C4" s="9"/>
      <c r="D4" s="9"/>
      <c r="E4" s="9"/>
      <c r="F4" s="9"/>
      <c r="G4" s="9"/>
    </row>
    <row r="5" customFormat="false" ht="15" hidden="false" customHeight="true" outlineLevel="0" collapsed="false">
      <c r="A5" s="11" t="s">
        <v>128</v>
      </c>
      <c r="B5" s="32" t="n">
        <v>5000</v>
      </c>
      <c r="C5" s="13"/>
      <c r="D5" s="13"/>
      <c r="E5" s="13"/>
      <c r="F5" s="13"/>
      <c r="G5" s="13"/>
      <c r="H5" s="13"/>
    </row>
    <row r="6" customFormat="false" ht="15" hidden="false" customHeight="true" outlineLevel="0" collapsed="false">
      <c r="A6" s="11" t="s">
        <v>129</v>
      </c>
      <c r="B6" s="12" t="n">
        <v>1200</v>
      </c>
      <c r="C6" s="13"/>
      <c r="D6" s="13"/>
      <c r="E6" s="13"/>
      <c r="F6" s="13"/>
      <c r="G6" s="13"/>
      <c r="H6" s="13"/>
    </row>
    <row r="7" customFormat="false" ht="15" hidden="false" customHeight="true" outlineLevel="0" collapsed="false">
      <c r="A7" s="11" t="s">
        <v>130</v>
      </c>
      <c r="B7" s="12" t="n">
        <v>12000</v>
      </c>
      <c r="C7" s="13"/>
      <c r="D7" s="13"/>
      <c r="E7" s="13"/>
      <c r="F7" s="13"/>
      <c r="G7" s="13"/>
      <c r="H7" s="13"/>
    </row>
    <row r="8" customFormat="false" ht="15" hidden="false" customHeight="true" outlineLevel="0" collapsed="false">
      <c r="A8" s="11" t="s">
        <v>98</v>
      </c>
      <c r="B8" s="15" t="n">
        <v>0.025</v>
      </c>
      <c r="C8" s="13"/>
      <c r="D8" s="13"/>
      <c r="E8" s="13"/>
      <c r="F8" s="13"/>
      <c r="G8" s="13"/>
      <c r="H8" s="13"/>
    </row>
    <row r="9" customFormat="false" ht="15" hidden="false" customHeight="true" outlineLevel="0" collapsed="false">
      <c r="A9" s="11" t="s">
        <v>99</v>
      </c>
      <c r="B9" s="14" t="n">
        <v>0.35</v>
      </c>
      <c r="C9" s="13"/>
      <c r="D9" s="13"/>
      <c r="E9" s="13"/>
      <c r="F9" s="13"/>
      <c r="G9" s="13"/>
      <c r="H9" s="13"/>
    </row>
    <row r="10" customFormat="false" ht="15" hidden="false" customHeight="true" outlineLevel="0" collapsed="false">
      <c r="A10" s="11" t="s">
        <v>100</v>
      </c>
      <c r="B10" s="15" t="n">
        <v>0.002</v>
      </c>
      <c r="C10" s="13"/>
      <c r="D10" s="13"/>
      <c r="E10" s="13"/>
      <c r="F10" s="13"/>
      <c r="G10" s="13"/>
      <c r="H10" s="13"/>
    </row>
    <row r="11" customFormat="false" ht="15" hidden="false" customHeight="true" outlineLevel="0" collapsed="false">
      <c r="A11" s="11" t="s">
        <v>101</v>
      </c>
      <c r="B11" s="14" t="n">
        <v>0.06</v>
      </c>
      <c r="C11" s="13"/>
      <c r="D11" s="13"/>
      <c r="E11" s="13"/>
      <c r="F11" s="13"/>
      <c r="G11" s="13"/>
      <c r="H11" s="13"/>
    </row>
    <row r="12" customFormat="false" ht="15" hidden="false" customHeight="true" outlineLevel="0" collapsed="false">
      <c r="A12" s="11" t="s">
        <v>131</v>
      </c>
      <c r="B12" s="14" t="n">
        <v>0.05</v>
      </c>
      <c r="C12" s="13"/>
      <c r="D12" s="13"/>
      <c r="E12" s="13"/>
      <c r="F12" s="13"/>
      <c r="G12" s="13"/>
      <c r="H12" s="13"/>
    </row>
    <row r="13" customFormat="false" ht="15" hidden="false" customHeight="true" outlineLevel="0" collapsed="false">
      <c r="A13" s="11" t="s">
        <v>132</v>
      </c>
      <c r="B13" s="14" t="n">
        <v>0.05</v>
      </c>
      <c r="C13" s="13"/>
      <c r="D13" s="13"/>
      <c r="E13" s="13"/>
      <c r="F13" s="13"/>
      <c r="G13" s="13"/>
      <c r="H13" s="13"/>
    </row>
    <row r="14" customFormat="false" ht="15" hidden="false" customHeight="true" outlineLevel="0" collapsed="false">
      <c r="A14" s="11" t="s">
        <v>52</v>
      </c>
      <c r="B14" s="14" t="n">
        <v>0.1</v>
      </c>
      <c r="C14" s="13"/>
      <c r="D14" s="13"/>
      <c r="E14" s="13"/>
      <c r="F14" s="13"/>
      <c r="G14" s="13"/>
      <c r="H14" s="13"/>
    </row>
    <row r="15" customFormat="false" ht="15" hidden="false" customHeight="true" outlineLevel="0" collapsed="false">
      <c r="A15" s="11" t="s">
        <v>53</v>
      </c>
      <c r="B15" s="14" t="n">
        <v>0.2</v>
      </c>
      <c r="C15" s="13"/>
      <c r="D15" s="13"/>
      <c r="E15" s="13"/>
      <c r="F15" s="13"/>
      <c r="G15" s="13"/>
      <c r="H15" s="13"/>
    </row>
    <row r="16" customFormat="false" ht="15" hidden="false" customHeight="true" outlineLevel="0" collapsed="false">
      <c r="A16" s="11" t="s">
        <v>133</v>
      </c>
      <c r="B16" s="12" t="n">
        <v>600</v>
      </c>
      <c r="C16" s="13"/>
      <c r="D16" s="13"/>
      <c r="E16" s="13"/>
      <c r="F16" s="13"/>
      <c r="G16" s="13"/>
      <c r="H16" s="13"/>
    </row>
    <row r="17" customFormat="false" ht="15" hidden="false" customHeight="true" outlineLevel="0" collapsed="false">
      <c r="A17" s="11" t="s">
        <v>134</v>
      </c>
      <c r="B17" s="12" t="n">
        <v>200</v>
      </c>
      <c r="C17" s="13"/>
      <c r="D17" s="13"/>
      <c r="E17" s="13"/>
      <c r="F17" s="13"/>
      <c r="G17" s="13"/>
      <c r="H17" s="13"/>
    </row>
    <row r="18" customFormat="false" ht="15" hidden="false" customHeight="true" outlineLevel="0" collapsed="false">
      <c r="A18" s="11" t="s">
        <v>135</v>
      </c>
      <c r="B18" s="12" t="n">
        <v>2500</v>
      </c>
      <c r="C18" s="13"/>
      <c r="D18" s="13"/>
      <c r="E18" s="13"/>
      <c r="F18" s="13"/>
      <c r="G18" s="13"/>
      <c r="H18" s="13"/>
    </row>
    <row r="19" customFormat="false" ht="15" hidden="false" customHeight="true" outlineLevel="0" collapsed="false">
      <c r="A19" s="11" t="s">
        <v>136</v>
      </c>
      <c r="B19" s="16" t="n">
        <v>15</v>
      </c>
      <c r="C19" s="13"/>
      <c r="D19" s="13"/>
      <c r="E19" s="13"/>
      <c r="F19" s="13"/>
      <c r="G19" s="13"/>
      <c r="H19" s="13"/>
    </row>
    <row r="21" customFormat="false" ht="15" hidden="false" customHeight="true" outlineLevel="0" collapsed="false">
      <c r="A21" s="10" t="s">
        <v>137</v>
      </c>
      <c r="B21" s="10"/>
      <c r="C21" s="10"/>
      <c r="D21" s="10"/>
      <c r="E21" s="10"/>
      <c r="F21" s="10"/>
      <c r="G21" s="10"/>
      <c r="H21" s="10"/>
    </row>
    <row r="22" customFormat="false" ht="15" hidden="false" customHeight="true" outlineLevel="0" collapsed="false">
      <c r="A22" s="4" t="s">
        <v>106</v>
      </c>
      <c r="B22" s="4" t="s">
        <v>138</v>
      </c>
      <c r="C22" s="4" t="s">
        <v>70</v>
      </c>
      <c r="D22" s="4" t="s">
        <v>139</v>
      </c>
      <c r="E22" s="4" t="s">
        <v>140</v>
      </c>
      <c r="F22" s="4" t="s">
        <v>76</v>
      </c>
      <c r="G22" s="4" t="s">
        <v>78</v>
      </c>
      <c r="H22" s="4" t="s">
        <v>80</v>
      </c>
    </row>
    <row r="23" customFormat="false" ht="15" hidden="false" customHeight="true" outlineLevel="0" collapsed="false">
      <c r="A23" s="31" t="n">
        <v>1</v>
      </c>
      <c r="B23" s="33" t="n">
        <f aca="false">$B$5*(1-$B$8-$B$11-$B$9)</f>
        <v>2825</v>
      </c>
      <c r="C23" s="19" t="n">
        <f aca="false">B23*$B$6/1000</f>
        <v>3390</v>
      </c>
      <c r="D23" s="19" t="n">
        <f aca="false">B23*$B$9*$B$7/1000</f>
        <v>11865</v>
      </c>
      <c r="E23" s="19" t="n">
        <f aca="false">C23*$B$12</f>
        <v>169.5</v>
      </c>
      <c r="F23" s="21" t="n">
        <f aca="false">C23-D23-E23</f>
        <v>-8644.5</v>
      </c>
      <c r="G23" s="34" t="n">
        <f aca="false">F23*(1-$B$15)</f>
        <v>-6915.6</v>
      </c>
      <c r="H23" s="25" t="n">
        <f aca="false">G23/(1+$B$14)^1</f>
        <v>-6286.90909090909</v>
      </c>
    </row>
    <row r="24" customFormat="false" ht="15" hidden="false" customHeight="true" outlineLevel="0" collapsed="false">
      <c r="A24" s="31" t="n">
        <v>2</v>
      </c>
      <c r="B24" s="33" t="n">
        <f aca="false">B23*(1-$B$8-$B$11-$B$9)</f>
        <v>1596.125</v>
      </c>
      <c r="C24" s="19" t="n">
        <f aca="false">B24*$B$6/1000</f>
        <v>1915.35</v>
      </c>
      <c r="D24" s="19" t="n">
        <f aca="false">B24*$B$9*$B$7/1000</f>
        <v>6703.725</v>
      </c>
      <c r="E24" s="19" t="n">
        <f aca="false">C24*$B$12</f>
        <v>95.7675</v>
      </c>
      <c r="F24" s="21" t="n">
        <f aca="false">C24-D24-E24</f>
        <v>-4884.1425</v>
      </c>
      <c r="G24" s="34" t="n">
        <f aca="false">F24*(1-$B$15)</f>
        <v>-3907.314</v>
      </c>
      <c r="H24" s="25" t="n">
        <f aca="false">G24/(1+$B$14)^2</f>
        <v>-3229.18512396694</v>
      </c>
    </row>
    <row r="25" customFormat="false" ht="15" hidden="false" customHeight="true" outlineLevel="0" collapsed="false">
      <c r="A25" s="31" t="n">
        <v>3</v>
      </c>
      <c r="B25" s="33" t="n">
        <f aca="false">B24*(1-$B$8-$B$11-$B$9)</f>
        <v>901.810625</v>
      </c>
      <c r="C25" s="19" t="n">
        <f aca="false">B25*$B$6/1000</f>
        <v>1082.17275</v>
      </c>
      <c r="D25" s="19" t="n">
        <f aca="false">B25*$B$9*$B$7/1000</f>
        <v>3787.604625</v>
      </c>
      <c r="E25" s="19" t="n">
        <f aca="false">C25*$B$12</f>
        <v>54.1086375</v>
      </c>
      <c r="F25" s="21" t="n">
        <f aca="false">C25-D25-E25</f>
        <v>-2759.5405125</v>
      </c>
      <c r="G25" s="34" t="n">
        <f aca="false">F25*(1-$B$15)</f>
        <v>-2207.63241</v>
      </c>
      <c r="H25" s="25" t="n">
        <f aca="false">G25/(1+$B$14)^3</f>
        <v>-1658.62690458302</v>
      </c>
    </row>
    <row r="26" customFormat="false" ht="15" hidden="false" customHeight="true" outlineLevel="0" collapsed="false">
      <c r="A26" s="31" t="n">
        <v>4</v>
      </c>
      <c r="B26" s="33" t="n">
        <f aca="false">B25*(1-$B$8-$B$11-$B$9)</f>
        <v>509.523003125</v>
      </c>
      <c r="C26" s="19" t="n">
        <f aca="false">B26*$B$6/1000</f>
        <v>611.42760375</v>
      </c>
      <c r="D26" s="19" t="n">
        <f aca="false">B26*$B$9*$B$7/1000</f>
        <v>2139.996613125</v>
      </c>
      <c r="E26" s="19" t="n">
        <f aca="false">C26*$B$12</f>
        <v>30.5713801875</v>
      </c>
      <c r="F26" s="21" t="n">
        <f aca="false">C26-D26-E26</f>
        <v>-1559.1403895625</v>
      </c>
      <c r="G26" s="34" t="n">
        <f aca="false">F26*(1-$B$15)</f>
        <v>-1247.31231165</v>
      </c>
      <c r="H26" s="25" t="n">
        <f aca="false">G26/(1+$B$14)^4</f>
        <v>-851.931091899461</v>
      </c>
    </row>
    <row r="27" customFormat="false" ht="15" hidden="false" customHeight="true" outlineLevel="0" collapsed="false">
      <c r="A27" s="31" t="n">
        <v>5</v>
      </c>
      <c r="B27" s="33" t="n">
        <f aca="false">B26*(1-$B$8-$B$11-$B$9)</f>
        <v>287.880496765625</v>
      </c>
      <c r="C27" s="19" t="n">
        <f aca="false">B27*$B$6/1000</f>
        <v>345.45659611875</v>
      </c>
      <c r="D27" s="19" t="n">
        <f aca="false">B27*$B$9*$B$7/1000</f>
        <v>1209.09808641563</v>
      </c>
      <c r="E27" s="19" t="n">
        <f aca="false">C27*$B$12</f>
        <v>17.2728298059375</v>
      </c>
      <c r="F27" s="21" t="n">
        <f aca="false">C27-D27-E27</f>
        <v>-880.914320102813</v>
      </c>
      <c r="G27" s="34" t="n">
        <f aca="false">F27*(1-$B$15)</f>
        <v>-704.73145608225</v>
      </c>
      <c r="H27" s="25" t="n">
        <f aca="false">G27/(1+$B$14)^5</f>
        <v>-437.582788111996</v>
      </c>
    </row>
    <row r="28" customFormat="false" ht="15" hidden="false" customHeight="true" outlineLevel="0" collapsed="false">
      <c r="A28" s="31" t="n">
        <v>6</v>
      </c>
      <c r="B28" s="33" t="n">
        <f aca="false">B27*(1-$B$8-$B$11-$B$9)</f>
        <v>162.652480672578</v>
      </c>
      <c r="C28" s="19" t="n">
        <f aca="false">B28*$B$6/1000</f>
        <v>195.182976807094</v>
      </c>
      <c r="D28" s="19" t="n">
        <f aca="false">B28*$B$9*$B$7/1000</f>
        <v>683.140418824828</v>
      </c>
      <c r="E28" s="19" t="n">
        <f aca="false">C28*$B$12</f>
        <v>9.75914884035469</v>
      </c>
      <c r="F28" s="21" t="n">
        <f aca="false">C28-D28-E28</f>
        <v>-497.716590858089</v>
      </c>
      <c r="G28" s="34" t="n">
        <f aca="false">F28*(1-$B$15)</f>
        <v>-398.173272686471</v>
      </c>
      <c r="H28" s="25" t="n">
        <f aca="false">G28/(1+$B$14)^6</f>
        <v>-224.758432075707</v>
      </c>
    </row>
    <row r="29" customFormat="false" ht="15" hidden="false" customHeight="true" outlineLevel="0" collapsed="false">
      <c r="A29" s="31" t="n">
        <v>7</v>
      </c>
      <c r="B29" s="33" t="n">
        <f aca="false">B28*(1-$B$8-$B$11-$B$9)</f>
        <v>91.8986515800067</v>
      </c>
      <c r="C29" s="19" t="n">
        <f aca="false">B29*$B$6/1000</f>
        <v>110.278381896008</v>
      </c>
      <c r="D29" s="19" t="n">
        <f aca="false">B29*$B$9*$B$7/1000</f>
        <v>385.974336636028</v>
      </c>
      <c r="E29" s="19" t="n">
        <f aca="false">C29*$B$12</f>
        <v>5.5139190948004</v>
      </c>
      <c r="F29" s="21" t="n">
        <f aca="false">C29-D29-E29</f>
        <v>-281.209873834821</v>
      </c>
      <c r="G29" s="34" t="n">
        <f aca="false">F29*(1-$B$15)</f>
        <v>-224.967899067856</v>
      </c>
      <c r="H29" s="25" t="n">
        <f aca="false">G29/(1+$B$14)^7</f>
        <v>-115.444103747977</v>
      </c>
    </row>
    <row r="30" customFormat="false" ht="15" hidden="false" customHeight="true" outlineLevel="0" collapsed="false">
      <c r="A30" s="31" t="n">
        <v>8</v>
      </c>
      <c r="B30" s="33" t="n">
        <f aca="false">B29*(1-$B$8-$B$11-$B$9)</f>
        <v>51.9227381427038</v>
      </c>
      <c r="C30" s="19" t="n">
        <f aca="false">B30*$B$6/1000</f>
        <v>62.3072857712446</v>
      </c>
      <c r="D30" s="19" t="n">
        <f aca="false">B30*$B$9*$B$7/1000</f>
        <v>218.075500199356</v>
      </c>
      <c r="E30" s="19" t="n">
        <f aca="false">C30*$B$12</f>
        <v>3.11536428856223</v>
      </c>
      <c r="F30" s="21" t="n">
        <f aca="false">C30-D30-E30</f>
        <v>-158.883578716674</v>
      </c>
      <c r="G30" s="34" t="n">
        <f aca="false">F30*(1-$B$15)</f>
        <v>-127.106862973339</v>
      </c>
      <c r="H30" s="25" t="n">
        <f aca="false">G30/(1+$B$14)^8</f>
        <v>-59.2962896523699</v>
      </c>
    </row>
    <row r="31" customFormat="false" ht="15" hidden="false" customHeight="true" outlineLevel="0" collapsed="false">
      <c r="A31" s="31" t="n">
        <v>9</v>
      </c>
      <c r="B31" s="33" t="n">
        <f aca="false">B30*(1-$B$8-$B$11-$B$9)</f>
        <v>29.3363470506276</v>
      </c>
      <c r="C31" s="19" t="n">
        <f aca="false">B31*$B$6/1000</f>
        <v>35.2036164607532</v>
      </c>
      <c r="D31" s="19" t="n">
        <f aca="false">B31*$B$9*$B$7/1000</f>
        <v>123.212657612636</v>
      </c>
      <c r="E31" s="19" t="n">
        <f aca="false">C31*$B$12</f>
        <v>1.76018082303766</v>
      </c>
      <c r="F31" s="21" t="n">
        <f aca="false">C31-D31-E31</f>
        <v>-89.7692219749206</v>
      </c>
      <c r="G31" s="34" t="n">
        <f aca="false">F31*(1-$B$15)</f>
        <v>-71.8153775799365</v>
      </c>
      <c r="H31" s="25" t="n">
        <f aca="false">G31/(1+$B$14)^9</f>
        <v>-30.4567305941718</v>
      </c>
    </row>
    <row r="32" customFormat="false" ht="15" hidden="false" customHeight="true" outlineLevel="0" collapsed="false">
      <c r="A32" s="31" t="n">
        <v>10</v>
      </c>
      <c r="B32" s="33" t="n">
        <f aca="false">B31*(1-$B$8-$B$11-$B$9)</f>
        <v>16.5750360836046</v>
      </c>
      <c r="C32" s="19" t="n">
        <f aca="false">B32*$B$6/1000</f>
        <v>19.8900433003255</v>
      </c>
      <c r="D32" s="19" t="n">
        <f aca="false">B32*$B$9*$B$7/1000</f>
        <v>69.6151515511394</v>
      </c>
      <c r="E32" s="19" t="n">
        <f aca="false">C32*$B$12</f>
        <v>0.994502165016277</v>
      </c>
      <c r="F32" s="21" t="n">
        <f aca="false">C32-D32-E32</f>
        <v>-50.7196104158301</v>
      </c>
      <c r="G32" s="34" t="n">
        <f aca="false">F32*(1-$B$15)</f>
        <v>-40.5756883326641</v>
      </c>
      <c r="H32" s="25" t="n">
        <f aca="false">G32/(1+$B$14)^10</f>
        <v>-15.6436843506428</v>
      </c>
    </row>
    <row r="34" customFormat="false" ht="15" hidden="false" customHeight="true" outlineLevel="0" collapsed="false">
      <c r="A34" s="26" t="s">
        <v>141</v>
      </c>
      <c r="B34" s="26"/>
      <c r="C34" s="26"/>
      <c r="D34" s="26"/>
      <c r="E34" s="26"/>
      <c r="F34" s="26"/>
      <c r="G34" s="26"/>
      <c r="H34" s="26"/>
    </row>
    <row r="35" customFormat="false" ht="15" hidden="false" customHeight="true" outlineLevel="0" collapsed="false">
      <c r="A35" s="4" t="s">
        <v>142</v>
      </c>
      <c r="B35" s="4" t="s">
        <v>143</v>
      </c>
      <c r="C35" s="4" t="s">
        <v>116</v>
      </c>
      <c r="D35" s="4"/>
      <c r="E35" s="4"/>
      <c r="F35" s="4"/>
      <c r="G35" s="4"/>
      <c r="H35" s="4"/>
    </row>
    <row r="36" customFormat="false" ht="15" hidden="false" customHeight="true" outlineLevel="0" collapsed="false">
      <c r="A36" s="17" t="s">
        <v>144</v>
      </c>
      <c r="B36" s="21" t="n">
        <f aca="false">SUM(H23:H32)-$B$5*$B$17/1000</f>
        <v>-13909.8342398914</v>
      </c>
      <c r="C36" s="28" t="s">
        <v>145</v>
      </c>
      <c r="D36" s="28"/>
      <c r="E36" s="28"/>
      <c r="F36" s="28"/>
      <c r="G36" s="28"/>
      <c r="H36" s="28"/>
    </row>
    <row r="37" customFormat="false" ht="15" hidden="false" customHeight="true" outlineLevel="0" collapsed="false">
      <c r="A37" s="17" t="s">
        <v>146</v>
      </c>
      <c r="B37" s="21" t="n">
        <f aca="false">$B$18</f>
        <v>2500</v>
      </c>
      <c r="C37" s="28" t="s">
        <v>147</v>
      </c>
      <c r="D37" s="28"/>
      <c r="E37" s="28"/>
      <c r="F37" s="28"/>
      <c r="G37" s="28"/>
      <c r="H37" s="28"/>
    </row>
    <row r="38" customFormat="false" ht="15" hidden="false" customHeight="true" outlineLevel="0" collapsed="false">
      <c r="A38" s="17" t="s">
        <v>148</v>
      </c>
      <c r="B38" s="21" t="n">
        <f aca="false">$B$5*$B$17/1000</f>
        <v>1000</v>
      </c>
      <c r="C38" s="28" t="s">
        <v>149</v>
      </c>
      <c r="D38" s="28"/>
      <c r="E38" s="28"/>
      <c r="F38" s="28"/>
      <c r="G38" s="28"/>
      <c r="H38" s="28"/>
    </row>
    <row r="39" customFormat="false" ht="15" hidden="false" customHeight="true" outlineLevel="0" collapsed="false">
      <c r="A39" s="17" t="s">
        <v>150</v>
      </c>
      <c r="B39" s="21" t="n">
        <f aca="false">B37+B38</f>
        <v>3500</v>
      </c>
      <c r="C39" s="28" t="s">
        <v>151</v>
      </c>
      <c r="D39" s="28"/>
      <c r="E39" s="28"/>
      <c r="F39" s="28"/>
      <c r="G39" s="28"/>
      <c r="H39" s="28"/>
    </row>
    <row r="40" customFormat="false" ht="15" hidden="false" customHeight="true" outlineLevel="0" collapsed="false">
      <c r="A40" s="35" t="s">
        <v>152</v>
      </c>
      <c r="B40" s="23" t="n">
        <f aca="false">B36+B39</f>
        <v>-10409.8342398914</v>
      </c>
      <c r="C40" s="28" t="s">
        <v>153</v>
      </c>
      <c r="D40" s="28"/>
      <c r="E40" s="28"/>
      <c r="F40" s="28"/>
      <c r="G40" s="28"/>
      <c r="H40" s="28"/>
    </row>
    <row r="41" customFormat="false" ht="15" hidden="false" customHeight="true" outlineLevel="0" collapsed="false">
      <c r="A41" s="17" t="s">
        <v>154</v>
      </c>
      <c r="B41" s="21" t="n">
        <f aca="false">B40*1000/$B$5</f>
        <v>-2081.96684797828</v>
      </c>
      <c r="C41" s="28" t="s">
        <v>155</v>
      </c>
      <c r="D41" s="28"/>
      <c r="E41" s="28"/>
      <c r="F41" s="28"/>
      <c r="G41" s="28"/>
      <c r="H41" s="28"/>
    </row>
    <row r="42" customFormat="false" ht="23.25" hidden="false" customHeight="true" outlineLevel="0" collapsed="false">
      <c r="A42" s="17" t="s">
        <v>156</v>
      </c>
      <c r="B42" s="21" t="n">
        <f aca="false">B40*0.08</f>
        <v>-832.78673919131</v>
      </c>
      <c r="C42" s="28" t="s">
        <v>157</v>
      </c>
      <c r="D42" s="28"/>
      <c r="E42" s="28"/>
      <c r="F42" s="28"/>
      <c r="G42" s="28"/>
      <c r="H42" s="28"/>
    </row>
    <row r="44" customFormat="false" ht="27.75" hidden="false" customHeight="true" outlineLevel="0" collapsed="false">
      <c r="A44" s="9" t="s">
        <v>158</v>
      </c>
      <c r="B44" s="9"/>
      <c r="C44" s="9"/>
      <c r="D44" s="9"/>
      <c r="E44" s="9"/>
      <c r="F44" s="9"/>
      <c r="G44" s="9"/>
    </row>
  </sheetData>
  <mergeCells count="14">
    <mergeCell ref="A1:H1"/>
    <mergeCell ref="A3:H3"/>
    <mergeCell ref="A4:G4"/>
    <mergeCell ref="A21:H21"/>
    <mergeCell ref="A34:H34"/>
    <mergeCell ref="C35:H35"/>
    <mergeCell ref="C36:H36"/>
    <mergeCell ref="C37:H37"/>
    <mergeCell ref="C38:H38"/>
    <mergeCell ref="C39:H39"/>
    <mergeCell ref="C40:H40"/>
    <mergeCell ref="C41:H41"/>
    <mergeCell ref="C42:H42"/>
    <mergeCell ref="A44:G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9" min="2" style="1" width="12"/>
    <col collapsed="false" customWidth="true" hidden="false" outlineLevel="0" max="10" min="10" style="1" width="20"/>
  </cols>
  <sheetData>
    <row r="1" customFormat="false" ht="30" hidden="false" customHeight="true" outlineLevel="0" collapsed="false">
      <c r="A1" s="2" t="s">
        <v>159</v>
      </c>
      <c r="B1" s="2"/>
      <c r="C1" s="2"/>
      <c r="D1" s="2"/>
      <c r="E1" s="2"/>
      <c r="F1" s="2"/>
      <c r="G1" s="2"/>
      <c r="H1" s="2"/>
      <c r="I1" s="2"/>
      <c r="J1" s="2"/>
    </row>
    <row r="3" customFormat="false" ht="15" hidden="false" customHeight="true" outlineLevel="0" collapsed="false">
      <c r="A3" s="10" t="s">
        <v>95</v>
      </c>
      <c r="B3" s="10"/>
      <c r="C3" s="10"/>
      <c r="D3" s="10"/>
      <c r="E3" s="10"/>
      <c r="F3" s="10"/>
      <c r="G3" s="10"/>
      <c r="H3" s="10"/>
      <c r="I3" s="10"/>
      <c r="J3" s="10"/>
    </row>
    <row r="4" customFormat="false" ht="27.75" hidden="false" customHeight="true" outlineLevel="0" collapsed="false">
      <c r="A4" s="9" t="s">
        <v>160</v>
      </c>
      <c r="B4" s="9"/>
      <c r="C4" s="9"/>
      <c r="D4" s="9"/>
      <c r="E4" s="9"/>
      <c r="F4" s="9"/>
      <c r="G4" s="9"/>
      <c r="H4" s="9"/>
      <c r="I4" s="9"/>
    </row>
    <row r="5" customFormat="false" ht="23.25" hidden="false" customHeight="true" outlineLevel="0" collapsed="false">
      <c r="A5" s="11" t="s">
        <v>161</v>
      </c>
      <c r="B5" s="32" t="n">
        <v>500</v>
      </c>
      <c r="C5" s="13"/>
      <c r="D5" s="13"/>
      <c r="E5" s="13"/>
      <c r="F5" s="13"/>
      <c r="G5" s="13"/>
      <c r="H5" s="13"/>
      <c r="I5" s="13"/>
      <c r="J5" s="13"/>
    </row>
    <row r="6" customFormat="false" ht="15" hidden="false" customHeight="true" outlineLevel="0" collapsed="false">
      <c r="A6" s="11" t="s">
        <v>129</v>
      </c>
      <c r="B6" s="12" t="n">
        <v>1200</v>
      </c>
      <c r="C6" s="13"/>
      <c r="D6" s="13"/>
      <c r="E6" s="13"/>
      <c r="F6" s="13"/>
      <c r="G6" s="13"/>
      <c r="H6" s="13"/>
      <c r="I6" s="13"/>
      <c r="J6" s="13"/>
    </row>
    <row r="7" customFormat="false" ht="15" hidden="false" customHeight="true" outlineLevel="0" collapsed="false">
      <c r="A7" s="11" t="s">
        <v>162</v>
      </c>
      <c r="B7" s="12" t="n">
        <v>300</v>
      </c>
      <c r="C7" s="13"/>
      <c r="D7" s="13"/>
      <c r="E7" s="13"/>
      <c r="F7" s="13"/>
      <c r="G7" s="13"/>
      <c r="H7" s="13"/>
      <c r="I7" s="13"/>
      <c r="J7" s="13"/>
    </row>
    <row r="8" customFormat="false" ht="23.25" hidden="false" customHeight="true" outlineLevel="0" collapsed="false">
      <c r="A8" s="11" t="s">
        <v>163</v>
      </c>
      <c r="B8" s="12" t="n">
        <v>600</v>
      </c>
      <c r="C8" s="13"/>
      <c r="D8" s="13"/>
      <c r="E8" s="13"/>
      <c r="F8" s="13"/>
      <c r="G8" s="13"/>
      <c r="H8" s="13"/>
      <c r="I8" s="13"/>
      <c r="J8" s="13"/>
    </row>
    <row r="9" customFormat="false" ht="15" hidden="false" customHeight="true" outlineLevel="0" collapsed="false">
      <c r="A9" s="11" t="s">
        <v>164</v>
      </c>
      <c r="B9" s="14" t="n">
        <v>0.3</v>
      </c>
      <c r="C9" s="13"/>
      <c r="D9" s="13"/>
      <c r="E9" s="13"/>
      <c r="F9" s="13"/>
      <c r="G9" s="13"/>
      <c r="H9" s="13"/>
      <c r="I9" s="13"/>
      <c r="J9" s="13"/>
    </row>
    <row r="10" customFormat="false" ht="15" hidden="false" customHeight="true" outlineLevel="0" collapsed="false">
      <c r="A10" s="11" t="s">
        <v>98</v>
      </c>
      <c r="B10" s="15" t="n">
        <v>0.025</v>
      </c>
      <c r="C10" s="13"/>
      <c r="D10" s="13"/>
      <c r="E10" s="13"/>
      <c r="F10" s="13"/>
      <c r="G10" s="13"/>
      <c r="H10" s="13"/>
      <c r="I10" s="13"/>
      <c r="J10" s="13"/>
    </row>
    <row r="11" customFormat="false" ht="15" hidden="false" customHeight="true" outlineLevel="0" collapsed="false">
      <c r="A11" s="11" t="s">
        <v>99</v>
      </c>
      <c r="B11" s="14" t="n">
        <v>0.35</v>
      </c>
      <c r="C11" s="13"/>
      <c r="D11" s="13"/>
      <c r="E11" s="13"/>
      <c r="F11" s="13"/>
      <c r="G11" s="13"/>
      <c r="H11" s="13"/>
      <c r="I11" s="13"/>
      <c r="J11" s="13"/>
    </row>
    <row r="12" customFormat="false" ht="15" hidden="false" customHeight="true" outlineLevel="0" collapsed="false">
      <c r="A12" s="11" t="s">
        <v>100</v>
      </c>
      <c r="B12" s="15" t="n">
        <v>0.002</v>
      </c>
      <c r="C12" s="13"/>
      <c r="D12" s="13"/>
      <c r="E12" s="13"/>
      <c r="F12" s="13"/>
      <c r="G12" s="13"/>
      <c r="H12" s="13"/>
      <c r="I12" s="13"/>
      <c r="J12" s="13"/>
    </row>
    <row r="13" customFormat="false" ht="15" hidden="false" customHeight="true" outlineLevel="0" collapsed="false">
      <c r="A13" s="11" t="s">
        <v>101</v>
      </c>
      <c r="B13" s="14" t="n">
        <v>0.06</v>
      </c>
      <c r="C13" s="13"/>
      <c r="D13" s="13"/>
      <c r="E13" s="13"/>
      <c r="F13" s="13"/>
      <c r="G13" s="13"/>
      <c r="H13" s="13"/>
      <c r="I13" s="13"/>
      <c r="J13" s="13"/>
    </row>
    <row r="14" customFormat="false" ht="15" hidden="false" customHeight="true" outlineLevel="0" collapsed="false">
      <c r="A14" s="11" t="s">
        <v>165</v>
      </c>
      <c r="B14" s="14" t="n">
        <v>0.05</v>
      </c>
      <c r="C14" s="13"/>
      <c r="D14" s="13"/>
      <c r="E14" s="13"/>
      <c r="F14" s="13"/>
      <c r="G14" s="13"/>
      <c r="H14" s="13"/>
      <c r="I14" s="13"/>
      <c r="J14" s="13"/>
    </row>
    <row r="15" customFormat="false" ht="15" hidden="false" customHeight="true" outlineLevel="0" collapsed="false">
      <c r="A15" s="11" t="s">
        <v>52</v>
      </c>
      <c r="B15" s="14" t="n">
        <v>0.1</v>
      </c>
      <c r="C15" s="13"/>
      <c r="D15" s="13"/>
      <c r="E15" s="13"/>
      <c r="F15" s="13"/>
      <c r="G15" s="13"/>
      <c r="H15" s="13"/>
      <c r="I15" s="13"/>
      <c r="J15" s="13"/>
    </row>
    <row r="16" customFormat="false" ht="15" hidden="false" customHeight="true" outlineLevel="0" collapsed="false">
      <c r="A16" s="11" t="s">
        <v>53</v>
      </c>
      <c r="B16" s="14" t="n">
        <v>0.2</v>
      </c>
      <c r="C16" s="13"/>
      <c r="D16" s="13"/>
      <c r="E16" s="13"/>
      <c r="F16" s="13"/>
      <c r="G16" s="13"/>
      <c r="H16" s="13"/>
      <c r="I16" s="13"/>
      <c r="J16" s="13"/>
    </row>
    <row r="17" customFormat="false" ht="15" hidden="false" customHeight="true" outlineLevel="0" collapsed="false">
      <c r="A17" s="11" t="s">
        <v>130</v>
      </c>
      <c r="B17" s="12" t="n">
        <v>12000</v>
      </c>
      <c r="C17" s="13"/>
      <c r="D17" s="13"/>
      <c r="E17" s="13"/>
      <c r="F17" s="13"/>
      <c r="G17" s="13"/>
      <c r="H17" s="13"/>
      <c r="I17" s="13"/>
      <c r="J17" s="13"/>
    </row>
    <row r="18" customFormat="false" ht="15" hidden="false" customHeight="true" outlineLevel="0" collapsed="false">
      <c r="A18" s="11" t="s">
        <v>131</v>
      </c>
      <c r="B18" s="14" t="n">
        <v>0.05</v>
      </c>
      <c r="C18" s="13"/>
      <c r="D18" s="13"/>
      <c r="E18" s="13"/>
      <c r="F18" s="13"/>
      <c r="G18" s="13"/>
      <c r="H18" s="13"/>
      <c r="I18" s="13"/>
      <c r="J18" s="13"/>
    </row>
    <row r="19" customFormat="false" ht="15" hidden="false" customHeight="true" outlineLevel="0" collapsed="false">
      <c r="A19" s="11" t="s">
        <v>166</v>
      </c>
      <c r="B19" s="16" t="n">
        <v>10</v>
      </c>
      <c r="C19" s="13"/>
      <c r="D19" s="13"/>
      <c r="E19" s="13"/>
      <c r="F19" s="13"/>
      <c r="G19" s="13"/>
      <c r="H19" s="13"/>
      <c r="I19" s="13"/>
      <c r="J19" s="13"/>
    </row>
    <row r="21" customFormat="false" ht="15" hidden="false" customHeight="true" outlineLevel="0" collapsed="false">
      <c r="A21" s="10" t="s">
        <v>167</v>
      </c>
      <c r="B21" s="10"/>
      <c r="C21" s="10"/>
      <c r="D21" s="10"/>
      <c r="E21" s="10"/>
      <c r="F21" s="10"/>
      <c r="G21" s="10"/>
      <c r="H21" s="10"/>
      <c r="I21" s="10"/>
      <c r="J21" s="10"/>
    </row>
    <row r="22" customFormat="false" ht="15" hidden="false" customHeight="true" outlineLevel="0" collapsed="false">
      <c r="A22" s="4" t="s">
        <v>106</v>
      </c>
      <c r="B22" s="4" t="s">
        <v>168</v>
      </c>
      <c r="C22" s="4" t="s">
        <v>169</v>
      </c>
      <c r="D22" s="4" t="s">
        <v>72</v>
      </c>
      <c r="E22" s="4" t="s">
        <v>170</v>
      </c>
      <c r="F22" s="4" t="s">
        <v>171</v>
      </c>
      <c r="G22" s="4" t="s">
        <v>172</v>
      </c>
      <c r="H22" s="4" t="s">
        <v>173</v>
      </c>
      <c r="I22" s="4" t="s">
        <v>174</v>
      </c>
    </row>
    <row r="23" customFormat="false" ht="15" hidden="false" customHeight="true" outlineLevel="0" collapsed="false">
      <c r="A23" s="31" t="n">
        <v>1</v>
      </c>
      <c r="B23" s="33" t="n">
        <f aca="false">$B$5</f>
        <v>500</v>
      </c>
      <c r="C23" s="19" t="n">
        <f aca="false">$B$5*$B$6/1000</f>
        <v>600</v>
      </c>
      <c r="D23" s="19" t="n">
        <f aca="false">$B$5*$B$7/1000</f>
        <v>150</v>
      </c>
      <c r="E23" s="19" t="n">
        <f aca="false">$B$5*$B$8/1000</f>
        <v>300</v>
      </c>
      <c r="F23" s="19" t="n">
        <f aca="false">$B$5*$B$6*$B$9/1000</f>
        <v>180</v>
      </c>
      <c r="G23" s="21" t="n">
        <f aca="false">E23+F23</f>
        <v>480</v>
      </c>
      <c r="H23" s="36" t="n">
        <f aca="false">G23-C23+D23</f>
        <v>30</v>
      </c>
      <c r="I23" s="25" t="n">
        <f aca="false">H23</f>
        <v>30</v>
      </c>
    </row>
    <row r="24" customFormat="false" ht="15" hidden="false" customHeight="true" outlineLevel="0" collapsed="false">
      <c r="A24" s="31" t="n">
        <v>2</v>
      </c>
      <c r="B24" s="33" t="n">
        <f aca="false">$B$5</f>
        <v>500</v>
      </c>
      <c r="C24" s="19" t="n">
        <f aca="false">$B$5*$B$6/1000</f>
        <v>600</v>
      </c>
      <c r="D24" s="19" t="n">
        <f aca="false">$B$5*$B$7/1000</f>
        <v>150</v>
      </c>
      <c r="E24" s="19" t="n">
        <f aca="false">$B$5*$B$8/1000</f>
        <v>300</v>
      </c>
      <c r="F24" s="19" t="n">
        <f aca="false">$B$5*$B$6*$B$9/1000</f>
        <v>180</v>
      </c>
      <c r="G24" s="21" t="n">
        <f aca="false">E24+F24</f>
        <v>480</v>
      </c>
      <c r="H24" s="36" t="n">
        <f aca="false">G24-C24+D24</f>
        <v>30</v>
      </c>
      <c r="I24" s="25" t="n">
        <f aca="false">I23+H24*(1+$B$14)</f>
        <v>61.5</v>
      </c>
    </row>
    <row r="25" customFormat="false" ht="15" hidden="false" customHeight="true" outlineLevel="0" collapsed="false">
      <c r="A25" s="31" t="n">
        <v>3</v>
      </c>
      <c r="B25" s="33" t="n">
        <f aca="false">$B$5</f>
        <v>500</v>
      </c>
      <c r="C25" s="19" t="n">
        <f aca="false">$B$5*$B$6/1000</f>
        <v>600</v>
      </c>
      <c r="D25" s="19" t="n">
        <f aca="false">$B$5*$B$7/1000</f>
        <v>150</v>
      </c>
      <c r="E25" s="19" t="n">
        <f aca="false">$B$5*$B$8/1000</f>
        <v>300</v>
      </c>
      <c r="F25" s="19" t="n">
        <f aca="false">$B$5*$B$6*$B$9/1000</f>
        <v>180</v>
      </c>
      <c r="G25" s="21" t="n">
        <f aca="false">E25+F25</f>
        <v>480</v>
      </c>
      <c r="H25" s="36" t="n">
        <f aca="false">G25-C25+D25</f>
        <v>30</v>
      </c>
      <c r="I25" s="25" t="n">
        <f aca="false">I24+H25*(1+$B$14)</f>
        <v>93</v>
      </c>
    </row>
    <row r="26" customFormat="false" ht="15" hidden="false" customHeight="true" outlineLevel="0" collapsed="false">
      <c r="A26" s="31" t="n">
        <v>4</v>
      </c>
      <c r="B26" s="33" t="n">
        <f aca="false">$B$5</f>
        <v>500</v>
      </c>
      <c r="C26" s="19" t="n">
        <f aca="false">$B$5*$B$6/1000</f>
        <v>600</v>
      </c>
      <c r="D26" s="19" t="n">
        <f aca="false">$B$5*$B$7/1000</f>
        <v>150</v>
      </c>
      <c r="E26" s="19" t="n">
        <f aca="false">$B$5*$B$8/1000</f>
        <v>300</v>
      </c>
      <c r="F26" s="19" t="n">
        <f aca="false">$B$5*$B$6*$B$9/1000</f>
        <v>180</v>
      </c>
      <c r="G26" s="21" t="n">
        <f aca="false">E26+F26</f>
        <v>480</v>
      </c>
      <c r="H26" s="36" t="n">
        <f aca="false">G26-C26+D26</f>
        <v>30</v>
      </c>
      <c r="I26" s="25" t="n">
        <f aca="false">I25+H26*(1+$B$14)</f>
        <v>124.5</v>
      </c>
    </row>
    <row r="27" customFormat="false" ht="15" hidden="false" customHeight="true" outlineLevel="0" collapsed="false">
      <c r="A27" s="31" t="n">
        <v>5</v>
      </c>
      <c r="B27" s="33" t="n">
        <f aca="false">$B$5</f>
        <v>500</v>
      </c>
      <c r="C27" s="19" t="n">
        <f aca="false">$B$5*$B$6/1000</f>
        <v>600</v>
      </c>
      <c r="D27" s="19" t="n">
        <f aca="false">$B$5*$B$7/1000</f>
        <v>150</v>
      </c>
      <c r="E27" s="19" t="n">
        <f aca="false">$B$5*$B$8/1000</f>
        <v>300</v>
      </c>
      <c r="F27" s="19" t="n">
        <f aca="false">$B$5*$B$6*$B$9/1000</f>
        <v>180</v>
      </c>
      <c r="G27" s="21" t="n">
        <f aca="false">E27+F27</f>
        <v>480</v>
      </c>
      <c r="H27" s="36" t="n">
        <f aca="false">G27-C27+D27</f>
        <v>30</v>
      </c>
      <c r="I27" s="25" t="n">
        <f aca="false">I26+H27*(1+$B$14)</f>
        <v>156</v>
      </c>
    </row>
    <row r="28" customFormat="false" ht="15" hidden="false" customHeight="true" outlineLevel="0" collapsed="false">
      <c r="A28" s="31" t="n">
        <v>6</v>
      </c>
      <c r="B28" s="33" t="n">
        <f aca="false">$B$5</f>
        <v>500</v>
      </c>
      <c r="C28" s="19" t="n">
        <f aca="false">$B$5*$B$6/1000</f>
        <v>600</v>
      </c>
      <c r="D28" s="19" t="n">
        <f aca="false">$B$5*$B$7/1000</f>
        <v>150</v>
      </c>
      <c r="E28" s="19" t="n">
        <f aca="false">$B$5*$B$8/1000</f>
        <v>300</v>
      </c>
      <c r="F28" s="19" t="n">
        <f aca="false">$B$5*$B$6*$B$9/1000</f>
        <v>180</v>
      </c>
      <c r="G28" s="21" t="n">
        <f aca="false">E28+F28</f>
        <v>480</v>
      </c>
      <c r="H28" s="36" t="n">
        <f aca="false">G28-C28+D28</f>
        <v>30</v>
      </c>
      <c r="I28" s="25" t="n">
        <f aca="false">I27+H28*(1+$B$14)</f>
        <v>187.5</v>
      </c>
    </row>
    <row r="29" customFormat="false" ht="15" hidden="false" customHeight="true" outlineLevel="0" collapsed="false">
      <c r="A29" s="31" t="n">
        <v>7</v>
      </c>
      <c r="B29" s="33" t="n">
        <f aca="false">$B$5</f>
        <v>500</v>
      </c>
      <c r="C29" s="19" t="n">
        <f aca="false">$B$5*$B$6/1000</f>
        <v>600</v>
      </c>
      <c r="D29" s="19" t="n">
        <f aca="false">$B$5*$B$7/1000</f>
        <v>150</v>
      </c>
      <c r="E29" s="19" t="n">
        <f aca="false">$B$5*$B$8/1000</f>
        <v>300</v>
      </c>
      <c r="F29" s="19" t="n">
        <f aca="false">$B$5*$B$6*$B$9/1000</f>
        <v>180</v>
      </c>
      <c r="G29" s="21" t="n">
        <f aca="false">E29+F29</f>
        <v>480</v>
      </c>
      <c r="H29" s="36" t="n">
        <f aca="false">G29-C29+D29</f>
        <v>30</v>
      </c>
      <c r="I29" s="25" t="n">
        <f aca="false">I28+H29*(1+$B$14)</f>
        <v>219</v>
      </c>
    </row>
    <row r="30" customFormat="false" ht="15" hidden="false" customHeight="true" outlineLevel="0" collapsed="false">
      <c r="A30" s="31" t="n">
        <v>8</v>
      </c>
      <c r="B30" s="33" t="n">
        <f aca="false">$B$5</f>
        <v>500</v>
      </c>
      <c r="C30" s="19" t="n">
        <f aca="false">$B$5*$B$6/1000</f>
        <v>600</v>
      </c>
      <c r="D30" s="19" t="n">
        <f aca="false">$B$5*$B$7/1000</f>
        <v>150</v>
      </c>
      <c r="E30" s="19" t="n">
        <f aca="false">$B$5*$B$8/1000</f>
        <v>300</v>
      </c>
      <c r="F30" s="19" t="n">
        <f aca="false">$B$5*$B$6*$B$9/1000</f>
        <v>180</v>
      </c>
      <c r="G30" s="21" t="n">
        <f aca="false">E30+F30</f>
        <v>480</v>
      </c>
      <c r="H30" s="36" t="n">
        <f aca="false">G30-C30+D30</f>
        <v>30</v>
      </c>
      <c r="I30" s="25" t="n">
        <f aca="false">I29+H30*(1+$B$14)</f>
        <v>250.5</v>
      </c>
    </row>
    <row r="31" customFormat="false" ht="15" hidden="false" customHeight="true" outlineLevel="0" collapsed="false">
      <c r="A31" s="31" t="n">
        <v>9</v>
      </c>
      <c r="B31" s="33" t="n">
        <f aca="false">$B$5</f>
        <v>500</v>
      </c>
      <c r="C31" s="19" t="n">
        <f aca="false">$B$5*$B$6/1000</f>
        <v>600</v>
      </c>
      <c r="D31" s="19" t="n">
        <f aca="false">$B$5*$B$7/1000</f>
        <v>150</v>
      </c>
      <c r="E31" s="19" t="n">
        <f aca="false">$B$5*$B$8/1000</f>
        <v>300</v>
      </c>
      <c r="F31" s="19" t="n">
        <f aca="false">$B$5*$B$6*$B$9/1000</f>
        <v>180</v>
      </c>
      <c r="G31" s="21" t="n">
        <f aca="false">E31+F31</f>
        <v>480</v>
      </c>
      <c r="H31" s="36" t="n">
        <f aca="false">G31-C31+D31</f>
        <v>30</v>
      </c>
      <c r="I31" s="25" t="n">
        <f aca="false">I30+H31*(1+$B$14)</f>
        <v>282</v>
      </c>
    </row>
    <row r="32" customFormat="false" ht="15" hidden="false" customHeight="true" outlineLevel="0" collapsed="false">
      <c r="A32" s="31" t="n">
        <v>10</v>
      </c>
      <c r="B32" s="33" t="n">
        <f aca="false">$B$5</f>
        <v>500</v>
      </c>
      <c r="C32" s="19" t="n">
        <f aca="false">$B$5*$B$6/1000</f>
        <v>600</v>
      </c>
      <c r="D32" s="19" t="n">
        <f aca="false">$B$5*$B$7/1000</f>
        <v>150</v>
      </c>
      <c r="E32" s="19" t="n">
        <f aca="false">$B$5*$B$8/1000</f>
        <v>300</v>
      </c>
      <c r="F32" s="19" t="n">
        <f aca="false">$B$5*$B$6*$B$9/1000</f>
        <v>180</v>
      </c>
      <c r="G32" s="21" t="n">
        <f aca="false">E32+F32</f>
        <v>480</v>
      </c>
      <c r="H32" s="36" t="n">
        <f aca="false">G32-C32+D32</f>
        <v>30</v>
      </c>
      <c r="I32" s="25" t="n">
        <f aca="false">I31+H32*(1+$B$14)</f>
        <v>313.5</v>
      </c>
    </row>
    <row r="34" customFormat="false" ht="15" hidden="false" customHeight="true" outlineLevel="0" collapsed="false">
      <c r="A34" s="26" t="s">
        <v>175</v>
      </c>
      <c r="B34" s="26"/>
      <c r="C34" s="26"/>
      <c r="D34" s="26"/>
      <c r="E34" s="26"/>
      <c r="F34" s="26"/>
      <c r="G34" s="26"/>
      <c r="H34" s="26"/>
      <c r="I34" s="26"/>
      <c r="J34" s="26"/>
    </row>
    <row r="35" customFormat="false" ht="15" hidden="false" customHeight="true" outlineLevel="0" collapsed="false">
      <c r="A35" s="4" t="s">
        <v>82</v>
      </c>
      <c r="B35" s="4" t="s">
        <v>83</v>
      </c>
      <c r="C35" s="4" t="s">
        <v>176</v>
      </c>
    </row>
    <row r="36" customFormat="false" ht="53.25" hidden="false" customHeight="true" outlineLevel="0" collapsed="false">
      <c r="A36" s="17" t="s">
        <v>177</v>
      </c>
      <c r="B36" s="21" t="n">
        <f aca="false">H23</f>
        <v>30</v>
      </c>
      <c r="C36" s="28" t="s">
        <v>178</v>
      </c>
    </row>
    <row r="37" customFormat="false" ht="42.75" hidden="false" customHeight="true" outlineLevel="0" collapsed="false">
      <c r="A37" s="27" t="s">
        <v>179</v>
      </c>
      <c r="B37" s="36" t="n">
        <f aca="false">MAX(I23:I32)</f>
        <v>313.5</v>
      </c>
      <c r="C37" s="28" t="s">
        <v>180</v>
      </c>
    </row>
    <row r="38" customFormat="false" ht="53.25" hidden="false" customHeight="true" outlineLevel="0" collapsed="false">
      <c r="A38" s="17" t="s">
        <v>181</v>
      </c>
      <c r="B38" s="21" t="n">
        <f aca="false">F23</f>
        <v>180</v>
      </c>
      <c r="C38" s="28" t="s">
        <v>182</v>
      </c>
    </row>
    <row r="39" customFormat="false" ht="42.75" hidden="false" customHeight="true" outlineLevel="0" collapsed="false">
      <c r="A39" s="17" t="s">
        <v>183</v>
      </c>
      <c r="B39" s="21" t="n">
        <f aca="false">G23</f>
        <v>480</v>
      </c>
      <c r="C39" s="28" t="s">
        <v>184</v>
      </c>
    </row>
    <row r="40" customFormat="false" ht="42.75" hidden="false" customHeight="true" outlineLevel="0" collapsed="false">
      <c r="A40" s="17" t="s">
        <v>185</v>
      </c>
      <c r="B40" s="37" t="n">
        <f aca="false">H23/C23</f>
        <v>0.05</v>
      </c>
      <c r="C40" s="28" t="s">
        <v>186</v>
      </c>
    </row>
    <row r="42" customFormat="false" ht="27.75" hidden="false" customHeight="true" outlineLevel="0" collapsed="false">
      <c r="A42" s="9" t="s">
        <v>187</v>
      </c>
      <c r="B42" s="9"/>
      <c r="C42" s="9"/>
      <c r="D42" s="9"/>
      <c r="E42" s="9"/>
      <c r="F42" s="9"/>
      <c r="G42" s="9"/>
      <c r="H42" s="9"/>
      <c r="I42" s="9"/>
    </row>
  </sheetData>
  <mergeCells count="6">
    <mergeCell ref="A1:J1"/>
    <mergeCell ref="A3:J3"/>
    <mergeCell ref="A4:I4"/>
    <mergeCell ref="A21:J21"/>
    <mergeCell ref="A34:J34"/>
    <mergeCell ref="A42:I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6" min="2" style="1" width="14"/>
    <col collapsed="false" customWidth="true" hidden="false" outlineLevel="0" max="7" min="7" style="1" width="24"/>
  </cols>
  <sheetData>
    <row r="1" customFormat="false" ht="30" hidden="false" customHeight="true" outlineLevel="0" collapsed="false">
      <c r="A1" s="2" t="s">
        <v>188</v>
      </c>
      <c r="B1" s="2"/>
      <c r="C1" s="2"/>
      <c r="D1" s="2"/>
      <c r="E1" s="2"/>
      <c r="F1" s="2"/>
      <c r="G1" s="2"/>
    </row>
    <row r="3" customFormat="false" ht="15" hidden="false" customHeight="true" outlineLevel="0" collapsed="false">
      <c r="A3" s="10" t="s">
        <v>189</v>
      </c>
      <c r="B3" s="10"/>
      <c r="C3" s="10"/>
      <c r="D3" s="10"/>
      <c r="E3" s="10"/>
      <c r="F3" s="10"/>
      <c r="G3" s="10"/>
    </row>
    <row r="4" customFormat="false" ht="27.75" hidden="false" customHeight="true" outlineLevel="0" collapsed="false">
      <c r="A4" s="9" t="s">
        <v>190</v>
      </c>
      <c r="B4" s="9"/>
      <c r="C4" s="9"/>
      <c r="D4" s="9"/>
      <c r="E4" s="9"/>
      <c r="F4" s="9"/>
    </row>
    <row r="5" customFormat="false" ht="15" hidden="false" customHeight="true" outlineLevel="0" collapsed="false">
      <c r="A5" s="11" t="s">
        <v>191</v>
      </c>
      <c r="B5" s="12" t="n">
        <v>12000</v>
      </c>
      <c r="C5" s="13"/>
      <c r="D5" s="13"/>
      <c r="E5" s="13"/>
      <c r="F5" s="13"/>
      <c r="G5" s="13"/>
    </row>
    <row r="6" customFormat="false" ht="15" hidden="false" customHeight="true" outlineLevel="0" collapsed="false">
      <c r="A6" s="11" t="s">
        <v>192</v>
      </c>
      <c r="B6" s="15" t="n">
        <v>0.025</v>
      </c>
      <c r="C6" s="13"/>
      <c r="D6" s="13"/>
      <c r="E6" s="13"/>
      <c r="F6" s="13"/>
      <c r="G6" s="13"/>
    </row>
    <row r="7" customFormat="false" ht="15" hidden="false" customHeight="true" outlineLevel="0" collapsed="false">
      <c r="A7" s="11" t="s">
        <v>193</v>
      </c>
      <c r="B7" s="14" t="n">
        <v>0.35</v>
      </c>
      <c r="C7" s="13"/>
      <c r="D7" s="13"/>
      <c r="E7" s="13"/>
      <c r="F7" s="13"/>
      <c r="G7" s="13"/>
    </row>
    <row r="8" customFormat="false" ht="15" hidden="false" customHeight="true" outlineLevel="0" collapsed="false">
      <c r="A8" s="11" t="s">
        <v>194</v>
      </c>
      <c r="B8" s="14" t="n">
        <v>0.06</v>
      </c>
      <c r="C8" s="13"/>
      <c r="D8" s="13"/>
      <c r="E8" s="13"/>
      <c r="F8" s="13"/>
      <c r="G8" s="13"/>
    </row>
    <row r="9" customFormat="false" ht="15" hidden="false" customHeight="true" outlineLevel="0" collapsed="false">
      <c r="A9" s="11" t="s">
        <v>195</v>
      </c>
      <c r="B9" s="15" t="n">
        <v>0.002</v>
      </c>
      <c r="C9" s="13"/>
      <c r="D9" s="13"/>
      <c r="E9" s="13"/>
      <c r="F9" s="13"/>
      <c r="G9" s="13"/>
    </row>
    <row r="10" customFormat="false" ht="15" hidden="false" customHeight="true" outlineLevel="0" collapsed="false">
      <c r="A10" s="11" t="s">
        <v>196</v>
      </c>
      <c r="B10" s="14" t="n">
        <v>0.04</v>
      </c>
      <c r="C10" s="13"/>
      <c r="D10" s="13"/>
      <c r="E10" s="13"/>
      <c r="F10" s="13"/>
      <c r="G10" s="13"/>
    </row>
    <row r="11" customFormat="false" ht="15" hidden="false" customHeight="true" outlineLevel="0" collapsed="false">
      <c r="A11" s="11" t="s">
        <v>197</v>
      </c>
      <c r="B11" s="12" t="n">
        <v>480</v>
      </c>
      <c r="C11" s="13"/>
      <c r="D11" s="13"/>
      <c r="E11" s="13"/>
      <c r="F11" s="13"/>
      <c r="G11" s="13"/>
    </row>
    <row r="12" customFormat="false" ht="15" hidden="false" customHeight="true" outlineLevel="0" collapsed="false">
      <c r="A12" s="11" t="s">
        <v>198</v>
      </c>
      <c r="B12" s="12" t="n">
        <v>6000</v>
      </c>
      <c r="C12" s="13"/>
      <c r="D12" s="13"/>
      <c r="E12" s="13"/>
      <c r="F12" s="13"/>
      <c r="G12" s="13"/>
    </row>
    <row r="13" customFormat="false" ht="15" hidden="false" customHeight="true" outlineLevel="0" collapsed="false">
      <c r="A13" s="11" t="s">
        <v>199</v>
      </c>
      <c r="B13" s="12" t="n">
        <v>12</v>
      </c>
      <c r="C13" s="13"/>
      <c r="D13" s="13"/>
      <c r="E13" s="13"/>
      <c r="F13" s="13"/>
      <c r="G13" s="13"/>
    </row>
    <row r="14" customFormat="false" ht="15" hidden="false" customHeight="true" outlineLevel="0" collapsed="false">
      <c r="A14" s="11" t="s">
        <v>200</v>
      </c>
      <c r="B14" s="32" t="n">
        <v>5000</v>
      </c>
      <c r="C14" s="13"/>
      <c r="D14" s="13"/>
      <c r="E14" s="13"/>
      <c r="F14" s="13"/>
      <c r="G14" s="13"/>
    </row>
    <row r="16" customFormat="false" ht="15" hidden="false" customHeight="true" outlineLevel="0" collapsed="false">
      <c r="A16" s="10" t="s">
        <v>201</v>
      </c>
      <c r="B16" s="10"/>
      <c r="C16" s="10"/>
      <c r="D16" s="10"/>
      <c r="E16" s="10"/>
      <c r="F16" s="10"/>
      <c r="G16" s="10"/>
    </row>
    <row r="17" customFormat="false" ht="15" hidden="false" customHeight="true" outlineLevel="0" collapsed="false">
      <c r="A17" s="11" t="s">
        <v>202</v>
      </c>
      <c r="B17" s="15" t="n">
        <v>0.03</v>
      </c>
      <c r="C17" s="13"/>
      <c r="D17" s="13"/>
      <c r="E17" s="13"/>
      <c r="F17" s="13"/>
      <c r="G17" s="13"/>
    </row>
    <row r="18" customFormat="false" ht="15" hidden="false" customHeight="true" outlineLevel="0" collapsed="false">
      <c r="A18" s="11" t="s">
        <v>203</v>
      </c>
      <c r="B18" s="14" t="n">
        <v>0.3</v>
      </c>
      <c r="C18" s="13"/>
      <c r="D18" s="13"/>
      <c r="E18" s="13"/>
      <c r="F18" s="13"/>
      <c r="G18" s="13"/>
    </row>
    <row r="19" customFormat="false" ht="15" hidden="false" customHeight="true" outlineLevel="0" collapsed="false">
      <c r="A19" s="11" t="s">
        <v>204</v>
      </c>
      <c r="B19" s="14" t="n">
        <v>0.05</v>
      </c>
      <c r="C19" s="13"/>
      <c r="D19" s="13"/>
      <c r="E19" s="13"/>
      <c r="F19" s="13"/>
      <c r="G19" s="13"/>
    </row>
    <row r="20" customFormat="false" ht="15" hidden="false" customHeight="true" outlineLevel="0" collapsed="false">
      <c r="A20" s="11" t="s">
        <v>205</v>
      </c>
      <c r="B20" s="15" t="n">
        <v>0.0018</v>
      </c>
      <c r="C20" s="13"/>
      <c r="D20" s="13"/>
      <c r="E20" s="13"/>
      <c r="F20" s="13"/>
      <c r="G20" s="13"/>
    </row>
    <row r="21" customFormat="false" ht="15" hidden="false" customHeight="true" outlineLevel="0" collapsed="false">
      <c r="A21" s="11" t="s">
        <v>206</v>
      </c>
      <c r="B21" s="14" t="n">
        <v>0.045</v>
      </c>
      <c r="C21" s="13"/>
      <c r="D21" s="13"/>
      <c r="E21" s="13"/>
      <c r="F21" s="13"/>
      <c r="G21" s="13"/>
    </row>
    <row r="22" customFormat="false" ht="15" hidden="false" customHeight="true" outlineLevel="0" collapsed="false">
      <c r="A22" s="11" t="s">
        <v>207</v>
      </c>
      <c r="B22" s="12" t="n">
        <v>510</v>
      </c>
      <c r="C22" s="13"/>
      <c r="D22" s="13"/>
      <c r="E22" s="13"/>
      <c r="F22" s="13"/>
      <c r="G22" s="13"/>
    </row>
    <row r="24" customFormat="false" ht="15" hidden="false" customHeight="true" outlineLevel="0" collapsed="false">
      <c r="A24" s="26" t="s">
        <v>208</v>
      </c>
      <c r="B24" s="26"/>
      <c r="C24" s="26"/>
      <c r="D24" s="26"/>
      <c r="E24" s="26"/>
      <c r="F24" s="26"/>
      <c r="G24" s="26"/>
    </row>
    <row r="25" customFormat="false" ht="15" hidden="false" customHeight="true" outlineLevel="0" collapsed="false">
      <c r="A25" s="4" t="s">
        <v>209</v>
      </c>
      <c r="B25" s="4" t="s">
        <v>210</v>
      </c>
      <c r="C25" s="4" t="s">
        <v>211</v>
      </c>
      <c r="D25" s="4" t="s">
        <v>212</v>
      </c>
      <c r="E25" s="4" t="s">
        <v>213</v>
      </c>
      <c r="F25" s="4" t="s">
        <v>176</v>
      </c>
    </row>
    <row r="26" customFormat="false" ht="21.75" hidden="false" customHeight="true" outlineLevel="0" collapsed="false">
      <c r="A26" s="17" t="s">
        <v>214</v>
      </c>
      <c r="B26" s="21" t="n">
        <f aca="false">$B$10*$B$6*$B$13</f>
        <v>0.012</v>
      </c>
      <c r="C26" s="21" t="n">
        <f aca="false">$B$17*$B$6*$B$13</f>
        <v>0.009</v>
      </c>
      <c r="D26" s="38" t="n">
        <f aca="false">B26-C26</f>
        <v>0.003</v>
      </c>
      <c r="E26" s="37" t="n">
        <f aca="false">IF(B26&lt;&gt;0,C26/B26,"-")</f>
        <v>0.75</v>
      </c>
      <c r="F26" s="28" t="s">
        <v>215</v>
      </c>
    </row>
    <row r="27" customFormat="false" ht="21.75" hidden="false" customHeight="true" outlineLevel="0" collapsed="false">
      <c r="A27" s="17" t="s">
        <v>216</v>
      </c>
      <c r="B27" s="39" t="n">
        <f aca="false">$B$10*$B$6*$B$7*$B$13</f>
        <v>0.0042</v>
      </c>
      <c r="C27" s="39" t="n">
        <f aca="false">$B$10*$B$18*$B$6*$B$13</f>
        <v>0.0036</v>
      </c>
      <c r="D27" s="38" t="n">
        <f aca="false">B27-C27</f>
        <v>0.000599999999999999</v>
      </c>
      <c r="E27" s="40" t="n">
        <f aca="false">IF(B27&lt;&gt;0,C27/B27,"-")</f>
        <v>0.857142857142857</v>
      </c>
      <c r="F27" s="28" t="s">
        <v>217</v>
      </c>
    </row>
    <row r="28" customFormat="false" ht="32.25" hidden="false" customHeight="true" outlineLevel="0" collapsed="false">
      <c r="A28" s="17" t="s">
        <v>218</v>
      </c>
      <c r="B28" s="21" t="n">
        <f aca="false">$B$10*$B$8*$B$6*0.5</f>
        <v>3E-005</v>
      </c>
      <c r="C28" s="21" t="n">
        <f aca="false">$B$10*$B$19*$B$6*0.5</f>
        <v>2.5E-005</v>
      </c>
      <c r="D28" s="38" t="n">
        <f aca="false">B28-C28</f>
        <v>5E-006</v>
      </c>
      <c r="E28" s="37" t="n">
        <f aca="false">IF(B28&lt;&gt;0,C28/B28,"-")</f>
        <v>0.833333333333334</v>
      </c>
      <c r="F28" s="28" t="s">
        <v>219</v>
      </c>
    </row>
    <row r="29" customFormat="false" ht="21.75" hidden="false" customHeight="true" outlineLevel="0" collapsed="false">
      <c r="A29" s="17" t="s">
        <v>220</v>
      </c>
      <c r="B29" s="39" t="n">
        <f aca="false">$B$10*$B$9*$B$13*2</f>
        <v>0.00192</v>
      </c>
      <c r="C29" s="39" t="n">
        <f aca="false">$B$10*$B$20*$B$13*2</f>
        <v>0.001728</v>
      </c>
      <c r="D29" s="38" t="n">
        <f aca="false">B29-C29</f>
        <v>0.000192</v>
      </c>
      <c r="E29" s="40" t="n">
        <f aca="false">IF(B29&lt;&gt;0,C29/B29,"-")</f>
        <v>0.9</v>
      </c>
      <c r="F29" s="28" t="s">
        <v>221</v>
      </c>
    </row>
    <row r="30" customFormat="false" ht="53.25" hidden="false" customHeight="true" outlineLevel="0" collapsed="false">
      <c r="A30" s="17" t="s">
        <v>222</v>
      </c>
      <c r="B30" s="21" t="n">
        <f aca="false">$B$5*$B$10</f>
        <v>480</v>
      </c>
      <c r="C30" s="21" t="n">
        <f aca="false">$B$5*$B$21</f>
        <v>540</v>
      </c>
      <c r="D30" s="38" t="n">
        <f aca="false">C30-B30</f>
        <v>60</v>
      </c>
      <c r="E30" s="37" t="n">
        <f aca="false">IF(B30&lt;&gt;0,C30/B30,"-")</f>
        <v>1.125</v>
      </c>
      <c r="F30" s="28" t="s">
        <v>223</v>
      </c>
    </row>
    <row r="31" customFormat="false" ht="42.75" hidden="false" customHeight="true" outlineLevel="0" collapsed="false">
      <c r="A31" s="17" t="s">
        <v>224</v>
      </c>
      <c r="B31" s="39" t="n">
        <f aca="false">$B$11</f>
        <v>480</v>
      </c>
      <c r="C31" s="39" t="n">
        <f aca="false">$B$22</f>
        <v>510</v>
      </c>
      <c r="D31" s="38" t="n">
        <f aca="false">B31-C31</f>
        <v>-30</v>
      </c>
      <c r="E31" s="40" t="n">
        <f aca="false">IF(B31&lt;&gt;0,C31/B31,"-")</f>
        <v>1.0625</v>
      </c>
      <c r="F31" s="28" t="s">
        <v>225</v>
      </c>
    </row>
    <row r="32" customFormat="false" ht="15" hidden="false" customHeight="true" outlineLevel="0" collapsed="false">
      <c r="A32" s="35" t="s">
        <v>226</v>
      </c>
      <c r="B32" s="23" t="n">
        <f aca="false">SUM(B26:B31)</f>
        <v>960.01815</v>
      </c>
      <c r="C32" s="23" t="n">
        <f aca="false">SUM(C26:C31)</f>
        <v>1050.014353</v>
      </c>
      <c r="D32" s="23" t="n">
        <f aca="false">SUM(D26:D31)</f>
        <v>30.003797</v>
      </c>
      <c r="E32" s="41" t="n">
        <f aca="false">IF(B32&lt;&gt;0,C32/B32,"-")</f>
        <v>1.09374427243902</v>
      </c>
      <c r="F32" s="42"/>
    </row>
    <row r="34" customFormat="false" ht="27.75" hidden="false" customHeight="true" outlineLevel="0" collapsed="false">
      <c r="A34" s="9" t="s">
        <v>227</v>
      </c>
      <c r="B34" s="9"/>
      <c r="C34" s="9"/>
      <c r="D34" s="9"/>
      <c r="E34" s="9"/>
      <c r="F34" s="9"/>
    </row>
  </sheetData>
  <mergeCells count="6">
    <mergeCell ref="A1:G1"/>
    <mergeCell ref="A3:G3"/>
    <mergeCell ref="A4:F4"/>
    <mergeCell ref="A16:G16"/>
    <mergeCell ref="A24:G24"/>
    <mergeCell ref="A34:F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9" min="2" style="1" width="12"/>
    <col collapsed="false" customWidth="true" hidden="false" outlineLevel="0" max="10" min="10" style="1" width="20"/>
  </cols>
  <sheetData>
    <row r="1" customFormat="false" ht="30" hidden="false" customHeight="true" outlineLevel="0" collapsed="false">
      <c r="A1" s="2" t="s">
        <v>228</v>
      </c>
      <c r="B1" s="2"/>
      <c r="C1" s="2"/>
      <c r="D1" s="2"/>
      <c r="E1" s="2"/>
      <c r="F1" s="2"/>
      <c r="G1" s="2"/>
      <c r="H1" s="2"/>
      <c r="I1" s="2"/>
      <c r="J1" s="2"/>
    </row>
    <row r="3" customFormat="false" ht="15" hidden="false" customHeight="true" outlineLevel="0" collapsed="false">
      <c r="A3" s="10" t="s">
        <v>95</v>
      </c>
      <c r="B3" s="10"/>
      <c r="C3" s="10"/>
      <c r="D3" s="10"/>
      <c r="E3" s="10"/>
      <c r="F3" s="10"/>
      <c r="G3" s="10"/>
      <c r="H3" s="10"/>
      <c r="I3" s="10"/>
      <c r="J3" s="10"/>
    </row>
    <row r="4" customFormat="false" ht="27.75" hidden="false" customHeight="true" outlineLevel="0" collapsed="false">
      <c r="A4" s="9" t="s">
        <v>229</v>
      </c>
      <c r="B4" s="9"/>
      <c r="C4" s="9"/>
      <c r="D4" s="9"/>
      <c r="E4" s="9"/>
      <c r="F4" s="9"/>
      <c r="G4" s="9"/>
      <c r="H4" s="9"/>
      <c r="I4" s="9"/>
    </row>
    <row r="5" customFormat="false" ht="15" hidden="false" customHeight="true" outlineLevel="0" collapsed="false">
      <c r="A5" s="11" t="s">
        <v>230</v>
      </c>
      <c r="B5" s="12" t="n">
        <v>15000</v>
      </c>
      <c r="C5" s="13"/>
      <c r="D5" s="13"/>
      <c r="E5" s="13"/>
      <c r="F5" s="13"/>
      <c r="G5" s="13"/>
      <c r="H5" s="13"/>
      <c r="I5" s="13"/>
      <c r="J5" s="13"/>
    </row>
    <row r="6" customFormat="false" ht="15" hidden="false" customHeight="true" outlineLevel="0" collapsed="false">
      <c r="A6" s="11" t="s">
        <v>231</v>
      </c>
      <c r="B6" s="12" t="n">
        <v>12000</v>
      </c>
      <c r="C6" s="13"/>
      <c r="D6" s="13"/>
      <c r="E6" s="13"/>
      <c r="F6" s="13"/>
      <c r="G6" s="13"/>
      <c r="H6" s="13"/>
      <c r="I6" s="13"/>
      <c r="J6" s="13"/>
    </row>
    <row r="7" customFormat="false" ht="15" hidden="false" customHeight="true" outlineLevel="0" collapsed="false">
      <c r="A7" s="11" t="s">
        <v>232</v>
      </c>
      <c r="B7" s="14" t="n">
        <v>0.15</v>
      </c>
      <c r="C7" s="13"/>
      <c r="D7" s="13"/>
      <c r="E7" s="13"/>
      <c r="F7" s="13"/>
      <c r="G7" s="13"/>
      <c r="H7" s="13"/>
      <c r="I7" s="13"/>
      <c r="J7" s="13"/>
    </row>
    <row r="8" customFormat="false" ht="15" hidden="false" customHeight="true" outlineLevel="0" collapsed="false">
      <c r="A8" s="11" t="s">
        <v>198</v>
      </c>
      <c r="B8" s="12" t="n">
        <v>6000</v>
      </c>
      <c r="C8" s="13"/>
      <c r="D8" s="13"/>
      <c r="E8" s="13"/>
      <c r="F8" s="13"/>
      <c r="G8" s="13"/>
      <c r="H8" s="13"/>
      <c r="I8" s="13"/>
      <c r="J8" s="13"/>
    </row>
    <row r="9" customFormat="false" ht="23.25" hidden="false" customHeight="true" outlineLevel="0" collapsed="false">
      <c r="A9" s="11" t="s">
        <v>233</v>
      </c>
      <c r="B9" s="12" t="n">
        <v>5400</v>
      </c>
      <c r="C9" s="13"/>
      <c r="D9" s="13"/>
      <c r="E9" s="13"/>
      <c r="F9" s="13"/>
      <c r="G9" s="13"/>
      <c r="H9" s="13"/>
      <c r="I9" s="13"/>
      <c r="J9" s="13"/>
    </row>
    <row r="10" customFormat="false" ht="15" hidden="false" customHeight="true" outlineLevel="0" collapsed="false">
      <c r="A10" s="11" t="s">
        <v>234</v>
      </c>
      <c r="B10" s="14" t="n">
        <v>0.03</v>
      </c>
      <c r="C10" s="13"/>
      <c r="D10" s="13"/>
      <c r="E10" s="13"/>
      <c r="F10" s="13"/>
      <c r="G10" s="13"/>
      <c r="H10" s="13"/>
      <c r="I10" s="13"/>
      <c r="J10" s="13"/>
    </row>
    <row r="11" customFormat="false" ht="15" hidden="false" customHeight="true" outlineLevel="0" collapsed="false">
      <c r="A11" s="11" t="s">
        <v>235</v>
      </c>
      <c r="B11" s="14" t="n">
        <v>0.04</v>
      </c>
      <c r="C11" s="13"/>
      <c r="D11" s="13"/>
      <c r="E11" s="13"/>
      <c r="F11" s="13"/>
      <c r="G11" s="13"/>
      <c r="H11" s="13"/>
      <c r="I11" s="13"/>
      <c r="J11" s="13"/>
    </row>
    <row r="12" customFormat="false" ht="23.25" hidden="false" customHeight="true" outlineLevel="0" collapsed="false">
      <c r="A12" s="11" t="s">
        <v>236</v>
      </c>
      <c r="B12" s="14" t="n">
        <v>0.07</v>
      </c>
      <c r="C12" s="13"/>
      <c r="D12" s="13"/>
      <c r="E12" s="13"/>
      <c r="F12" s="13"/>
      <c r="G12" s="13"/>
      <c r="H12" s="13"/>
      <c r="I12" s="13"/>
      <c r="J12" s="13"/>
    </row>
    <row r="13" customFormat="false" ht="23.25" hidden="false" customHeight="true" outlineLevel="0" collapsed="false">
      <c r="A13" s="11" t="s">
        <v>237</v>
      </c>
      <c r="B13" s="14" t="n">
        <v>0.12</v>
      </c>
      <c r="C13" s="13"/>
      <c r="D13" s="13"/>
      <c r="E13" s="13"/>
      <c r="F13" s="13"/>
      <c r="G13" s="13"/>
      <c r="H13" s="13"/>
      <c r="I13" s="13"/>
      <c r="J13" s="13"/>
    </row>
    <row r="14" customFormat="false" ht="23.25" hidden="false" customHeight="true" outlineLevel="0" collapsed="false">
      <c r="A14" s="11" t="s">
        <v>238</v>
      </c>
      <c r="B14" s="14" t="n">
        <v>-0.1</v>
      </c>
      <c r="C14" s="13"/>
      <c r="D14" s="13"/>
      <c r="E14" s="13"/>
      <c r="F14" s="13"/>
      <c r="G14" s="13"/>
      <c r="H14" s="13"/>
      <c r="I14" s="13"/>
      <c r="J14" s="13"/>
    </row>
    <row r="15" customFormat="false" ht="15" hidden="false" customHeight="true" outlineLevel="0" collapsed="false">
      <c r="A15" s="11" t="s">
        <v>166</v>
      </c>
      <c r="B15" s="16" t="n">
        <v>10</v>
      </c>
      <c r="C15" s="13"/>
      <c r="D15" s="13"/>
      <c r="E15" s="13"/>
      <c r="F15" s="13"/>
      <c r="G15" s="13"/>
      <c r="H15" s="13"/>
      <c r="I15" s="13"/>
      <c r="J15" s="13"/>
    </row>
    <row r="17" customFormat="false" ht="15" hidden="false" customHeight="true" outlineLevel="0" collapsed="false">
      <c r="A17" s="10" t="s">
        <v>239</v>
      </c>
      <c r="B17" s="10"/>
      <c r="C17" s="10"/>
      <c r="D17" s="10"/>
      <c r="E17" s="10"/>
      <c r="F17" s="10"/>
      <c r="G17" s="10"/>
      <c r="H17" s="10"/>
      <c r="I17" s="10"/>
      <c r="J17" s="10"/>
    </row>
    <row r="18" customFormat="false" ht="15" hidden="false" customHeight="true" outlineLevel="0" collapsed="false">
      <c r="A18" s="4" t="s">
        <v>106</v>
      </c>
      <c r="B18" s="4" t="s">
        <v>240</v>
      </c>
      <c r="C18" s="4" t="s">
        <v>241</v>
      </c>
      <c r="D18" s="4" t="s">
        <v>242</v>
      </c>
      <c r="E18" s="4" t="s">
        <v>212</v>
      </c>
      <c r="F18" s="4" t="s">
        <v>243</v>
      </c>
      <c r="G18" s="4" t="s">
        <v>244</v>
      </c>
      <c r="H18" s="4" t="s">
        <v>245</v>
      </c>
    </row>
    <row r="19" customFormat="false" ht="15" hidden="false" customHeight="true" outlineLevel="0" collapsed="false">
      <c r="A19" s="31" t="n">
        <v>1</v>
      </c>
      <c r="B19" s="19" t="n">
        <f aca="false">($B$5+$B$8-$B$9)*(1+$B$11)</f>
        <v>16224</v>
      </c>
      <c r="C19" s="19" t="n">
        <f aca="false">$B$6*(1+$B$10)</f>
        <v>12360</v>
      </c>
      <c r="D19" s="21" t="n">
        <f aca="false">C19*$B$7</f>
        <v>1854</v>
      </c>
      <c r="E19" s="23" t="n">
        <f aca="false">B19-C19-D19</f>
        <v>2010</v>
      </c>
      <c r="F19" s="37" t="n">
        <f aca="false">B19/C19</f>
        <v>1.3126213592233</v>
      </c>
      <c r="G19" s="43" t="str">
        <f aca="false">IF(E19&gt;0,"SOLVENT","BREACH")</f>
        <v>SOLVENT</v>
      </c>
      <c r="H19" s="37" t="n">
        <f aca="false">E19/C19</f>
        <v>0.162621359223301</v>
      </c>
    </row>
    <row r="20" customFormat="false" ht="15" hidden="false" customHeight="true" outlineLevel="0" collapsed="false">
      <c r="A20" s="31" t="n">
        <v>2</v>
      </c>
      <c r="B20" s="19" t="n">
        <f aca="false">(B19+$B$8-$B$9)*(1+$B$11)</f>
        <v>17496.96</v>
      </c>
      <c r="C20" s="19" t="n">
        <f aca="false">C19*(1+$B$10)</f>
        <v>12730.8</v>
      </c>
      <c r="D20" s="21" t="n">
        <f aca="false">C20*$B$7</f>
        <v>1909.62</v>
      </c>
      <c r="E20" s="23" t="n">
        <f aca="false">B20-C20-D20</f>
        <v>2856.54</v>
      </c>
      <c r="F20" s="37" t="n">
        <f aca="false">B20/C20</f>
        <v>1.37438024318974</v>
      </c>
      <c r="G20" s="43" t="str">
        <f aca="false">IF(E20&gt;0,"SOLVENT","BREACH")</f>
        <v>SOLVENT</v>
      </c>
      <c r="H20" s="37" t="n">
        <f aca="false">E20/C20</f>
        <v>0.224380243189744</v>
      </c>
    </row>
    <row r="21" customFormat="false" ht="15" hidden="false" customHeight="true" outlineLevel="0" collapsed="false">
      <c r="A21" s="31" t="n">
        <v>3</v>
      </c>
      <c r="B21" s="19" t="n">
        <f aca="false">(B20+$B$8-$B$9)*(1+$B$11)</f>
        <v>18820.8384</v>
      </c>
      <c r="C21" s="19" t="n">
        <f aca="false">C20*(1+$B$10)</f>
        <v>13112.724</v>
      </c>
      <c r="D21" s="21" t="n">
        <f aca="false">C21*$B$7</f>
        <v>1966.9086</v>
      </c>
      <c r="E21" s="23" t="n">
        <f aca="false">B21-C21-D21</f>
        <v>3741.2058</v>
      </c>
      <c r="F21" s="37" t="n">
        <f aca="false">B21/C21</f>
        <v>1.43531110698281</v>
      </c>
      <c r="G21" s="43" t="str">
        <f aca="false">IF(E21&gt;0,"SOLVENT","BREACH")</f>
        <v>SOLVENT</v>
      </c>
      <c r="H21" s="37" t="n">
        <f aca="false">E21/C21</f>
        <v>0.285311106982805</v>
      </c>
    </row>
    <row r="22" customFormat="false" ht="15" hidden="false" customHeight="true" outlineLevel="0" collapsed="false">
      <c r="A22" s="31" t="n">
        <v>4</v>
      </c>
      <c r="B22" s="19" t="n">
        <f aca="false">(B21+$B$8-$B$9)*(1+$B$11)</f>
        <v>20197.671936</v>
      </c>
      <c r="C22" s="19" t="n">
        <f aca="false">C21*(1+$B$10)</f>
        <v>13506.10572</v>
      </c>
      <c r="D22" s="21" t="n">
        <f aca="false">C22*$B$7</f>
        <v>2025.915858</v>
      </c>
      <c r="E22" s="23" t="n">
        <f aca="false">B22-C22-D22</f>
        <v>4665.650358</v>
      </c>
      <c r="F22" s="37" t="n">
        <f aca="false">B22/C22</f>
        <v>1.49544749276552</v>
      </c>
      <c r="G22" s="43" t="str">
        <f aca="false">IF(E22&gt;0,"SOLVENT","BREACH")</f>
        <v>SOLVENT</v>
      </c>
      <c r="H22" s="37" t="n">
        <f aca="false">E22/C22</f>
        <v>0.345447492765516</v>
      </c>
    </row>
    <row r="23" customFormat="false" ht="15" hidden="false" customHeight="true" outlineLevel="0" collapsed="false">
      <c r="A23" s="31" t="n">
        <v>5</v>
      </c>
      <c r="B23" s="19" t="n">
        <f aca="false">(B22+$B$8-$B$9)*(1+$B$11)</f>
        <v>21629.57881344</v>
      </c>
      <c r="C23" s="19" t="n">
        <f aca="false">C22*(1+$B$10)</f>
        <v>13911.2888916</v>
      </c>
      <c r="D23" s="21" t="n">
        <f aca="false">C23*$B$7</f>
        <v>2086.69333374</v>
      </c>
      <c r="E23" s="23" t="n">
        <f aca="false">B23-C23-D23</f>
        <v>5631.5965881</v>
      </c>
      <c r="F23" s="37" t="n">
        <f aca="false">B23/C23</f>
        <v>1.55482205725025</v>
      </c>
      <c r="G23" s="43" t="str">
        <f aca="false">IF(E23&gt;0,"SOLVENT","BREACH")</f>
        <v>SOLVENT</v>
      </c>
      <c r="H23" s="37" t="n">
        <f aca="false">E23/C23</f>
        <v>0.404822057250245</v>
      </c>
    </row>
    <row r="24" customFormat="false" ht="15" hidden="false" customHeight="true" outlineLevel="0" collapsed="false">
      <c r="A24" s="31" t="n">
        <v>6</v>
      </c>
      <c r="B24" s="19" t="n">
        <f aca="false">(B23+$B$8-$B$9)*(1+$B$11)</f>
        <v>23118.7619659776</v>
      </c>
      <c r="C24" s="19" t="n">
        <f aca="false">C23*(1+$B$10)</f>
        <v>14328.627558348</v>
      </c>
      <c r="D24" s="21" t="n">
        <f aca="false">C24*$B$7</f>
        <v>2149.2941337522</v>
      </c>
      <c r="E24" s="23" t="n">
        <f aca="false">B24-C24-D24</f>
        <v>6640.8402738774</v>
      </c>
      <c r="F24" s="37" t="n">
        <f aca="false">B24/C24</f>
        <v>1.61346659837692</v>
      </c>
      <c r="G24" s="43" t="str">
        <f aca="false">IF(E24&gt;0,"SOLVENT","BREACH")</f>
        <v>SOLVENT</v>
      </c>
      <c r="H24" s="37" t="n">
        <f aca="false">E24/C24</f>
        <v>0.463466598376924</v>
      </c>
    </row>
    <row r="25" customFormat="false" ht="15" hidden="false" customHeight="true" outlineLevel="0" collapsed="false">
      <c r="A25" s="31" t="n">
        <v>7</v>
      </c>
      <c r="B25" s="19" t="n">
        <f aca="false">(B24+$B$8-$B$9)*(1+$B$11)</f>
        <v>24667.5124446167</v>
      </c>
      <c r="C25" s="19" t="n">
        <f aca="false">C24*(1+$B$10)</f>
        <v>14758.4863850984</v>
      </c>
      <c r="D25" s="21" t="n">
        <f aca="false">C25*$B$7</f>
        <v>2213.77295776477</v>
      </c>
      <c r="E25" s="23" t="n">
        <f aca="false">B25-C25-D25</f>
        <v>7695.2531017535</v>
      </c>
      <c r="F25" s="37" t="n">
        <f aca="false">B25/C25</f>
        <v>1.67141208122287</v>
      </c>
      <c r="G25" s="43" t="str">
        <f aca="false">IF(E25&gt;0,"SOLVENT","BREACH")</f>
        <v>SOLVENT</v>
      </c>
      <c r="H25" s="37" t="n">
        <f aca="false">E25/C25</f>
        <v>0.521412081222865</v>
      </c>
    </row>
    <row r="26" customFormat="false" ht="15" hidden="false" customHeight="true" outlineLevel="0" collapsed="false">
      <c r="A26" s="31" t="n">
        <v>8</v>
      </c>
      <c r="B26" s="19" t="n">
        <f aca="false">(B25+$B$8-$B$9)*(1+$B$11)</f>
        <v>26278.2129424014</v>
      </c>
      <c r="C26" s="19" t="n">
        <f aca="false">C25*(1+$B$10)</f>
        <v>15201.2409766514</v>
      </c>
      <c r="D26" s="21" t="n">
        <f aca="false">C26*$B$7</f>
        <v>2280.18614649771</v>
      </c>
      <c r="E26" s="23" t="n">
        <f aca="false">B26-C26-D26</f>
        <v>8796.78581925227</v>
      </c>
      <c r="F26" s="37" t="n">
        <f aca="false">B26/C26</f>
        <v>1.72868866316664</v>
      </c>
      <c r="G26" s="43" t="str">
        <f aca="false">IF(E26&gt;0,"SOLVENT","BREACH")</f>
        <v>SOLVENT</v>
      </c>
      <c r="H26" s="37" t="n">
        <f aca="false">E26/C26</f>
        <v>0.578688663166635</v>
      </c>
    </row>
    <row r="27" customFormat="false" ht="15" hidden="false" customHeight="true" outlineLevel="0" collapsed="false">
      <c r="A27" s="31" t="n">
        <v>9</v>
      </c>
      <c r="B27" s="19" t="n">
        <f aca="false">(B26+$B$8-$B$9)*(1+$B$11)</f>
        <v>27953.3414600974</v>
      </c>
      <c r="C27" s="19" t="n">
        <f aca="false">C26*(1+$B$10)</f>
        <v>15657.2782059509</v>
      </c>
      <c r="D27" s="21" t="n">
        <f aca="false">C27*$B$7</f>
        <v>2348.59173089264</v>
      </c>
      <c r="E27" s="23" t="n">
        <f aca="false">B27-C27-D27</f>
        <v>9947.47152325385</v>
      </c>
      <c r="F27" s="37" t="n">
        <f aca="false">B27/C27</f>
        <v>1.78532571832779</v>
      </c>
      <c r="G27" s="43" t="str">
        <f aca="false">IF(E27&gt;0,"SOLVENT","BREACH")</f>
        <v>SOLVENT</v>
      </c>
      <c r="H27" s="37" t="n">
        <f aca="false">E27/C27</f>
        <v>0.635325718327791</v>
      </c>
    </row>
    <row r="28" customFormat="false" ht="15" hidden="false" customHeight="true" outlineLevel="0" collapsed="false">
      <c r="A28" s="31" t="n">
        <v>10</v>
      </c>
      <c r="B28" s="19" t="n">
        <f aca="false">(B27+$B$8-$B$9)*(1+$B$11)</f>
        <v>29695.4751185013</v>
      </c>
      <c r="C28" s="19" t="n">
        <f aca="false">C27*(1+$B$10)</f>
        <v>16126.9965521295</v>
      </c>
      <c r="D28" s="21" t="n">
        <f aca="false">C28*$B$7</f>
        <v>2419.04948281942</v>
      </c>
      <c r="E28" s="23" t="n">
        <f aca="false">B28-C28-D28</f>
        <v>11149.4290835524</v>
      </c>
      <c r="F28" s="37" t="n">
        <f aca="false">B28/C28</f>
        <v>1.84135186130366</v>
      </c>
      <c r="G28" s="43" t="str">
        <f aca="false">IF(E28&gt;0,"SOLVENT","BREACH")</f>
        <v>SOLVENT</v>
      </c>
      <c r="H28" s="37" t="n">
        <f aca="false">E28/C28</f>
        <v>0.691351861303662</v>
      </c>
    </row>
    <row r="30" customFormat="false" ht="15" hidden="false" customHeight="true" outlineLevel="0" collapsed="false">
      <c r="A30" s="44" t="s">
        <v>246</v>
      </c>
      <c r="B30" s="44"/>
      <c r="C30" s="44"/>
      <c r="D30" s="44"/>
      <c r="E30" s="44"/>
      <c r="F30" s="44"/>
      <c r="G30" s="44"/>
      <c r="H30" s="44"/>
      <c r="I30" s="44"/>
      <c r="J30" s="44"/>
    </row>
    <row r="31" customFormat="false" ht="15" hidden="false" customHeight="true" outlineLevel="0" collapsed="false">
      <c r="A31" s="45" t="s">
        <v>106</v>
      </c>
      <c r="B31" s="45" t="s">
        <v>247</v>
      </c>
      <c r="C31" s="45" t="s">
        <v>248</v>
      </c>
      <c r="D31" s="45" t="s">
        <v>249</v>
      </c>
      <c r="E31" s="45" t="s">
        <v>250</v>
      </c>
      <c r="F31" s="45" t="s">
        <v>251</v>
      </c>
      <c r="G31" s="45" t="s">
        <v>252</v>
      </c>
      <c r="H31" s="45" t="s">
        <v>253</v>
      </c>
    </row>
    <row r="32" customFormat="false" ht="15" hidden="false" customHeight="true" outlineLevel="0" collapsed="false">
      <c r="A32" s="31" t="n">
        <v>1</v>
      </c>
      <c r="B32" s="19" t="n">
        <f aca="false">($B$5+$B$8-$B$9)*(1+$B$12)</f>
        <v>16692</v>
      </c>
      <c r="C32" s="46" t="n">
        <f aca="false">($B$5+$B$8-$B$9)*(1+$B$14)</f>
        <v>14040</v>
      </c>
      <c r="D32" s="19" t="n">
        <f aca="false">$B$6*(1+$B$10)</f>
        <v>12360</v>
      </c>
      <c r="E32" s="21" t="n">
        <f aca="false">D32*$B$7</f>
        <v>1854</v>
      </c>
      <c r="F32" s="23" t="n">
        <f aca="false">B32-D32-E32</f>
        <v>2478</v>
      </c>
      <c r="G32" s="36" t="n">
        <f aca="false">C32-D32-E32</f>
        <v>-174</v>
      </c>
      <c r="H32" s="47" t="str">
        <f aca="false">IF(G32&gt;0,"SOLVENT","BREACH")</f>
        <v>BREACH</v>
      </c>
    </row>
    <row r="33" customFormat="false" ht="15" hidden="false" customHeight="true" outlineLevel="0" collapsed="false">
      <c r="A33" s="31" t="n">
        <v>2</v>
      </c>
      <c r="B33" s="19" t="n">
        <f aca="false">(B32+$B$8-$B$9)*(1+$B$12)</f>
        <v>18502.44</v>
      </c>
      <c r="C33" s="46" t="n">
        <f aca="false">(C32+$B$8-$B$9)*(1+$B$14)</f>
        <v>13176</v>
      </c>
      <c r="D33" s="19" t="n">
        <f aca="false">D32*(1+$B$10)</f>
        <v>12730.8</v>
      </c>
      <c r="E33" s="21" t="n">
        <f aca="false">D33*$B$7</f>
        <v>1909.62</v>
      </c>
      <c r="F33" s="23" t="n">
        <f aca="false">B33-D33-E33</f>
        <v>3862.02</v>
      </c>
      <c r="G33" s="36" t="n">
        <f aca="false">C33-D33-E33</f>
        <v>-1464.42</v>
      </c>
      <c r="H33" s="47" t="str">
        <f aca="false">IF(G33&gt;0,"SOLVENT","BREACH")</f>
        <v>BREACH</v>
      </c>
    </row>
    <row r="34" customFormat="false" ht="15" hidden="false" customHeight="true" outlineLevel="0" collapsed="false">
      <c r="A34" s="31" t="n">
        <v>3</v>
      </c>
      <c r="B34" s="19" t="n">
        <f aca="false">(B33+$B$8-$B$9)*(1+$B$12)</f>
        <v>20439.6108</v>
      </c>
      <c r="C34" s="46" t="n">
        <f aca="false">(C33+$B$8-$B$9)*(1+$B$14)</f>
        <v>12398.4</v>
      </c>
      <c r="D34" s="19" t="n">
        <f aca="false">D33*(1+$B$10)</f>
        <v>13112.724</v>
      </c>
      <c r="E34" s="21" t="n">
        <f aca="false">D34*$B$7</f>
        <v>1966.9086</v>
      </c>
      <c r="F34" s="23" t="n">
        <f aca="false">B34-D34-E34</f>
        <v>5359.9782</v>
      </c>
      <c r="G34" s="36" t="n">
        <f aca="false">C34-D34-E34</f>
        <v>-2681.2326</v>
      </c>
      <c r="H34" s="47" t="str">
        <f aca="false">IF(G34&gt;0,"SOLVENT","BREACH")</f>
        <v>BREACH</v>
      </c>
    </row>
    <row r="35" customFormat="false" ht="15" hidden="false" customHeight="true" outlineLevel="0" collapsed="false">
      <c r="A35" s="31" t="n">
        <v>4</v>
      </c>
      <c r="B35" s="19" t="n">
        <f aca="false">(B34+$B$8-$B$9)*(1+$B$12)</f>
        <v>22512.383556</v>
      </c>
      <c r="C35" s="46" t="n">
        <f aca="false">(C34+$B$8-$B$9)*(1+$B$14)</f>
        <v>11698.56</v>
      </c>
      <c r="D35" s="19" t="n">
        <f aca="false">D34*(1+$B$10)</f>
        <v>13506.10572</v>
      </c>
      <c r="E35" s="21" t="n">
        <f aca="false">D35*$B$7</f>
        <v>2025.915858</v>
      </c>
      <c r="F35" s="23" t="n">
        <f aca="false">B35-D35-E35</f>
        <v>6980.361978</v>
      </c>
      <c r="G35" s="36" t="n">
        <f aca="false">C35-D35-E35</f>
        <v>-3833.461578</v>
      </c>
      <c r="H35" s="47" t="str">
        <f aca="false">IF(G35&gt;0,"SOLVENT","BREACH")</f>
        <v>BREACH</v>
      </c>
    </row>
    <row r="36" customFormat="false" ht="15" hidden="false" customHeight="true" outlineLevel="0" collapsed="false">
      <c r="A36" s="31" t="n">
        <v>5</v>
      </c>
      <c r="B36" s="19" t="n">
        <f aca="false">(B35+$B$8-$B$9)*(1+$B$12)</f>
        <v>24730.25040492</v>
      </c>
      <c r="C36" s="46" t="n">
        <f aca="false">(C35+$B$8-$B$9)*(1+$B$14)</f>
        <v>11068.704</v>
      </c>
      <c r="D36" s="19" t="n">
        <f aca="false">D35*(1+$B$10)</f>
        <v>13911.2888916</v>
      </c>
      <c r="E36" s="21" t="n">
        <f aca="false">D36*$B$7</f>
        <v>2086.69333374</v>
      </c>
      <c r="F36" s="23" t="n">
        <f aca="false">B36-D36-E36</f>
        <v>8732.26817958</v>
      </c>
      <c r="G36" s="36" t="n">
        <f aca="false">C36-D36-E36</f>
        <v>-4929.27822534</v>
      </c>
      <c r="H36" s="47" t="str">
        <f aca="false">IF(G36&gt;0,"SOLVENT","BREACH")</f>
        <v>BREACH</v>
      </c>
    </row>
    <row r="37" customFormat="false" ht="15" hidden="false" customHeight="true" outlineLevel="0" collapsed="false">
      <c r="A37" s="31" t="n">
        <v>6</v>
      </c>
      <c r="B37" s="19" t="n">
        <f aca="false">(B36+$B$8-$B$9)*(1+$B$12)</f>
        <v>27103.3679332644</v>
      </c>
      <c r="C37" s="46" t="n">
        <f aca="false">(C36+$B$8-$B$9)*(1+$B$14)</f>
        <v>10501.8336</v>
      </c>
      <c r="D37" s="19" t="n">
        <f aca="false">D36*(1+$B$10)</f>
        <v>14328.627558348</v>
      </c>
      <c r="E37" s="21" t="n">
        <f aca="false">D37*$B$7</f>
        <v>2149.2941337522</v>
      </c>
      <c r="F37" s="23" t="n">
        <f aca="false">B37-D37-E37</f>
        <v>10625.4462411642</v>
      </c>
      <c r="G37" s="36" t="n">
        <f aca="false">C37-D37-E37</f>
        <v>-5976.0880921002</v>
      </c>
      <c r="H37" s="47" t="str">
        <f aca="false">IF(G37&gt;0,"SOLVENT","BREACH")</f>
        <v>BREACH</v>
      </c>
    </row>
    <row r="38" customFormat="false" ht="15" hidden="false" customHeight="true" outlineLevel="0" collapsed="false">
      <c r="A38" s="31" t="n">
        <v>7</v>
      </c>
      <c r="B38" s="19" t="n">
        <f aca="false">(B37+$B$8-$B$9)*(1+$B$12)</f>
        <v>29642.6036885929</v>
      </c>
      <c r="C38" s="46" t="n">
        <f aca="false">(C37+$B$8-$B$9)*(1+$B$14)</f>
        <v>9991.65024</v>
      </c>
      <c r="D38" s="19" t="n">
        <f aca="false">D37*(1+$B$10)</f>
        <v>14758.4863850984</v>
      </c>
      <c r="E38" s="21" t="n">
        <f aca="false">D38*$B$7</f>
        <v>2213.77295776477</v>
      </c>
      <c r="F38" s="23" t="n">
        <f aca="false">B38-D38-E38</f>
        <v>12670.3443457297</v>
      </c>
      <c r="G38" s="36" t="n">
        <f aca="false">C38-D38-E38</f>
        <v>-6980.60910286321</v>
      </c>
      <c r="H38" s="47" t="str">
        <f aca="false">IF(G38&gt;0,"SOLVENT","BREACH")</f>
        <v>BREACH</v>
      </c>
    </row>
    <row r="39" customFormat="false" ht="15" hidden="false" customHeight="true" outlineLevel="0" collapsed="false">
      <c r="A39" s="31" t="n">
        <v>8</v>
      </c>
      <c r="B39" s="19" t="n">
        <f aca="false">(B38+$B$8-$B$9)*(1+$B$12)</f>
        <v>32359.5859467944</v>
      </c>
      <c r="C39" s="46" t="n">
        <f aca="false">(C38+$B$8-$B$9)*(1+$B$14)</f>
        <v>9532.485216</v>
      </c>
      <c r="D39" s="19" t="n">
        <f aca="false">D38*(1+$B$10)</f>
        <v>15201.2409766514</v>
      </c>
      <c r="E39" s="21" t="n">
        <f aca="false">D39*$B$7</f>
        <v>2280.18614649771</v>
      </c>
      <c r="F39" s="23" t="n">
        <f aca="false">B39-D39-E39</f>
        <v>14878.1588236453</v>
      </c>
      <c r="G39" s="36" t="n">
        <f aca="false">C39-D39-E39</f>
        <v>-7948.94190714911</v>
      </c>
      <c r="H39" s="47" t="str">
        <f aca="false">IF(G39&gt;0,"SOLVENT","BREACH")</f>
        <v>BREACH</v>
      </c>
    </row>
    <row r="40" customFormat="false" ht="15" hidden="false" customHeight="true" outlineLevel="0" collapsed="false">
      <c r="A40" s="31" t="n">
        <v>9</v>
      </c>
      <c r="B40" s="19" t="n">
        <f aca="false">(B39+$B$8-$B$9)*(1+$B$12)</f>
        <v>35266.75696307</v>
      </c>
      <c r="C40" s="46" t="n">
        <f aca="false">(C39+$B$8-$B$9)*(1+$B$14)</f>
        <v>9119.2366944</v>
      </c>
      <c r="D40" s="19" t="n">
        <f aca="false">D39*(1+$B$10)</f>
        <v>15657.2782059509</v>
      </c>
      <c r="E40" s="21" t="n">
        <f aca="false">D40*$B$7</f>
        <v>2348.59173089264</v>
      </c>
      <c r="F40" s="23" t="n">
        <f aca="false">B40-D40-E40</f>
        <v>17260.8870262265</v>
      </c>
      <c r="G40" s="36" t="n">
        <f aca="false">C40-D40-E40</f>
        <v>-8886.63324244358</v>
      </c>
      <c r="H40" s="47" t="str">
        <f aca="false">IF(G40&gt;0,"SOLVENT","BREACH")</f>
        <v>BREACH</v>
      </c>
    </row>
    <row r="41" customFormat="false" ht="15" hidden="false" customHeight="true" outlineLevel="0" collapsed="false">
      <c r="A41" s="31" t="n">
        <v>10</v>
      </c>
      <c r="B41" s="19" t="n">
        <f aca="false">(B40+$B$8-$B$9)*(1+$B$12)</f>
        <v>38377.4299504849</v>
      </c>
      <c r="C41" s="46" t="n">
        <f aca="false">(C40+$B$8-$B$9)*(1+$B$14)</f>
        <v>8747.31302496</v>
      </c>
      <c r="D41" s="19" t="n">
        <f aca="false">D40*(1+$B$10)</f>
        <v>16126.9965521295</v>
      </c>
      <c r="E41" s="21" t="n">
        <f aca="false">D41*$B$7</f>
        <v>2419.04948281942</v>
      </c>
      <c r="F41" s="23" t="n">
        <f aca="false">B41-D41-E41</f>
        <v>19831.3839155361</v>
      </c>
      <c r="G41" s="36" t="n">
        <f aca="false">C41-D41-E41</f>
        <v>-9798.73300998889</v>
      </c>
      <c r="H41" s="47" t="str">
        <f aca="false">IF(G41&gt;0,"SOLVENT","BREACH")</f>
        <v>BREACH</v>
      </c>
    </row>
    <row r="43" customFormat="false" ht="27.75" hidden="false" customHeight="true" outlineLevel="0" collapsed="false">
      <c r="A43" s="9" t="s">
        <v>254</v>
      </c>
      <c r="B43" s="9"/>
      <c r="C43" s="9"/>
      <c r="D43" s="9"/>
      <c r="E43" s="9"/>
      <c r="F43" s="9"/>
      <c r="G43" s="9"/>
      <c r="H43" s="9"/>
      <c r="I43" s="9"/>
    </row>
  </sheetData>
  <mergeCells count="6">
    <mergeCell ref="A1:J1"/>
    <mergeCell ref="A3:J3"/>
    <mergeCell ref="A4:I4"/>
    <mergeCell ref="A17:J17"/>
    <mergeCell ref="A30:J30"/>
    <mergeCell ref="A43:I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7" min="2" style="1" width="12"/>
    <col collapsed="false" customWidth="true" hidden="false" outlineLevel="0" max="8" min="8" style="1" width="24"/>
  </cols>
  <sheetData>
    <row r="1" customFormat="false" ht="30" hidden="false" customHeight="true" outlineLevel="0" collapsed="false">
      <c r="A1" s="2" t="s">
        <v>255</v>
      </c>
      <c r="B1" s="2"/>
      <c r="C1" s="2"/>
      <c r="D1" s="2"/>
      <c r="E1" s="2"/>
      <c r="F1" s="2"/>
      <c r="G1" s="2"/>
      <c r="H1" s="2"/>
    </row>
    <row r="3" customFormat="false" ht="15" hidden="false" customHeight="true" outlineLevel="0" collapsed="false">
      <c r="A3" s="10" t="s">
        <v>95</v>
      </c>
      <c r="B3" s="10"/>
      <c r="C3" s="10"/>
      <c r="D3" s="10"/>
      <c r="E3" s="10"/>
      <c r="F3" s="10"/>
      <c r="G3" s="10"/>
      <c r="H3" s="10"/>
    </row>
    <row r="4" customFormat="false" ht="27.75" hidden="false" customHeight="true" outlineLevel="0" collapsed="false">
      <c r="A4" s="9" t="s">
        <v>256</v>
      </c>
      <c r="B4" s="9"/>
      <c r="C4" s="9"/>
      <c r="D4" s="9"/>
      <c r="E4" s="9"/>
      <c r="F4" s="9"/>
      <c r="G4" s="9"/>
    </row>
    <row r="5" customFormat="false" ht="15" hidden="false" customHeight="true" outlineLevel="0" collapsed="false">
      <c r="A5" s="11" t="s">
        <v>257</v>
      </c>
      <c r="B5" s="32" t="n">
        <v>1000</v>
      </c>
      <c r="C5" s="13"/>
      <c r="D5" s="13"/>
      <c r="E5" s="13"/>
      <c r="F5" s="13"/>
      <c r="G5" s="13"/>
      <c r="H5" s="13"/>
    </row>
    <row r="6" customFormat="false" ht="23.25" hidden="false" customHeight="true" outlineLevel="0" collapsed="false">
      <c r="A6" s="11" t="s">
        <v>258</v>
      </c>
      <c r="B6" s="12" t="n">
        <v>12</v>
      </c>
      <c r="C6" s="13"/>
      <c r="D6" s="13"/>
      <c r="E6" s="13"/>
      <c r="F6" s="13"/>
      <c r="G6" s="13"/>
      <c r="H6" s="13"/>
    </row>
    <row r="7" customFormat="false" ht="15" hidden="false" customHeight="true" outlineLevel="0" collapsed="false">
      <c r="A7" s="11" t="s">
        <v>259</v>
      </c>
      <c r="B7" s="14" t="n">
        <v>0.25</v>
      </c>
      <c r="C7" s="13"/>
      <c r="D7" s="13"/>
      <c r="E7" s="13"/>
      <c r="F7" s="13"/>
      <c r="G7" s="13"/>
      <c r="H7" s="13"/>
    </row>
    <row r="8" customFormat="false" ht="23.25" hidden="false" customHeight="true" outlineLevel="0" collapsed="false">
      <c r="A8" s="11" t="s">
        <v>260</v>
      </c>
      <c r="B8" s="48" t="n">
        <v>1.4</v>
      </c>
      <c r="C8" s="13"/>
      <c r="D8" s="13"/>
      <c r="E8" s="13"/>
      <c r="F8" s="13"/>
      <c r="G8" s="13"/>
      <c r="H8" s="13"/>
    </row>
    <row r="9" customFormat="false" ht="23.25" hidden="false" customHeight="true" outlineLevel="0" collapsed="false">
      <c r="A9" s="11" t="s">
        <v>261</v>
      </c>
      <c r="B9" s="16" t="n">
        <v>5</v>
      </c>
      <c r="C9" s="13"/>
      <c r="D9" s="13"/>
      <c r="E9" s="13"/>
      <c r="F9" s="13"/>
      <c r="G9" s="13"/>
      <c r="H9" s="13"/>
    </row>
    <row r="10" customFormat="false" ht="15" hidden="false" customHeight="true" outlineLevel="0" collapsed="false">
      <c r="A10" s="11" t="s">
        <v>262</v>
      </c>
      <c r="B10" s="16" t="n">
        <v>5</v>
      </c>
      <c r="C10" s="13"/>
      <c r="D10" s="13"/>
      <c r="E10" s="13"/>
      <c r="F10" s="13"/>
      <c r="G10" s="13"/>
      <c r="H10" s="13"/>
    </row>
    <row r="11" customFormat="false" ht="23.25" hidden="false" customHeight="true" outlineLevel="0" collapsed="false">
      <c r="A11" s="11" t="s">
        <v>263</v>
      </c>
      <c r="B11" s="14" t="n">
        <v>1</v>
      </c>
      <c r="C11" s="13"/>
      <c r="D11" s="13"/>
      <c r="E11" s="13"/>
      <c r="F11" s="13"/>
      <c r="G11" s="13"/>
      <c r="H11" s="13"/>
    </row>
    <row r="12" customFormat="false" ht="15" hidden="false" customHeight="true" outlineLevel="0" collapsed="false">
      <c r="A12" s="11" t="s">
        <v>52</v>
      </c>
      <c r="B12" s="14" t="n">
        <v>0.1</v>
      </c>
      <c r="C12" s="13"/>
      <c r="D12" s="13"/>
      <c r="E12" s="13"/>
      <c r="F12" s="13"/>
      <c r="G12" s="13"/>
      <c r="H12" s="13"/>
    </row>
    <row r="13" customFormat="false" ht="15" hidden="false" customHeight="true" outlineLevel="0" collapsed="false">
      <c r="A13" s="11" t="s">
        <v>264</v>
      </c>
      <c r="B13" s="14" t="n">
        <v>0.04</v>
      </c>
      <c r="C13" s="13"/>
      <c r="D13" s="13"/>
      <c r="E13" s="13"/>
      <c r="F13" s="13"/>
      <c r="G13" s="13"/>
      <c r="H13" s="13"/>
    </row>
    <row r="14" customFormat="false" ht="15" hidden="false" customHeight="true" outlineLevel="0" collapsed="false">
      <c r="A14" s="11" t="s">
        <v>100</v>
      </c>
      <c r="B14" s="15" t="n">
        <v>0.002</v>
      </c>
      <c r="C14" s="13"/>
      <c r="D14" s="13"/>
      <c r="E14" s="13"/>
      <c r="F14" s="13"/>
      <c r="G14" s="13"/>
      <c r="H14" s="13"/>
    </row>
    <row r="16" customFormat="false" ht="15" hidden="false" customHeight="true" outlineLevel="0" collapsed="false">
      <c r="A16" s="10" t="s">
        <v>265</v>
      </c>
      <c r="B16" s="10"/>
      <c r="C16" s="10"/>
      <c r="D16" s="10"/>
      <c r="E16" s="10"/>
      <c r="F16" s="10"/>
      <c r="G16" s="10"/>
      <c r="H16" s="10"/>
    </row>
    <row r="17" customFormat="false" ht="15" hidden="false" customHeight="true" outlineLevel="0" collapsed="false">
      <c r="A17" s="4" t="s">
        <v>266</v>
      </c>
      <c r="B17" s="4" t="s">
        <v>267</v>
      </c>
      <c r="C17" s="4" t="s">
        <v>268</v>
      </c>
      <c r="D17" s="4" t="s">
        <v>269</v>
      </c>
      <c r="E17" s="4" t="s">
        <v>270</v>
      </c>
      <c r="F17" s="4" t="s">
        <v>271</v>
      </c>
      <c r="G17" s="4" t="s">
        <v>108</v>
      </c>
      <c r="H17" s="4" t="s">
        <v>272</v>
      </c>
    </row>
    <row r="18" customFormat="false" ht="15" hidden="false" customHeight="true" outlineLevel="0" collapsed="false">
      <c r="A18" s="31" t="n">
        <v>1</v>
      </c>
      <c r="B18" s="33" t="n">
        <f aca="false">$B$5*(1-$B$13-$B$14)^1</f>
        <v>958</v>
      </c>
      <c r="C18" s="33" t="n">
        <f aca="false">B18*$B$6</f>
        <v>11496</v>
      </c>
      <c r="D18" s="19" t="n">
        <f aca="false">C18*$B$9*$B$4/1000</f>
        <v>0</v>
      </c>
      <c r="E18" s="46" t="n">
        <f aca="false">C18*$B$9*$B$4*$B$7/1000</f>
        <v>0</v>
      </c>
      <c r="F18" s="49" t="n">
        <f aca="false">E18-D18</f>
        <v>0</v>
      </c>
      <c r="G18" s="24" t="n">
        <f aca="false">1/(1+$B$12)^1</f>
        <v>0.909090909090909</v>
      </c>
      <c r="H18" s="25" t="n">
        <f aca="false">F18*G18</f>
        <v>0</v>
      </c>
    </row>
    <row r="19" customFormat="false" ht="15" hidden="false" customHeight="true" outlineLevel="0" collapsed="false">
      <c r="A19" s="31" t="n">
        <v>2</v>
      </c>
      <c r="B19" s="33" t="n">
        <f aca="false">$B$5*(1-$B$13-$B$14)^2</f>
        <v>917.764</v>
      </c>
      <c r="C19" s="33" t="n">
        <f aca="false">B19*$B$6</f>
        <v>11013.168</v>
      </c>
      <c r="D19" s="19" t="n">
        <f aca="false">C19*$B$9*$B$4/1000</f>
        <v>0</v>
      </c>
      <c r="E19" s="46" t="n">
        <f aca="false">C19*$B$9*$B$4*$B$7/1000</f>
        <v>0</v>
      </c>
      <c r="F19" s="49" t="n">
        <f aca="false">E19-D19</f>
        <v>0</v>
      </c>
      <c r="G19" s="24" t="n">
        <f aca="false">1/(1+$B$12)^2</f>
        <v>0.826446280991735</v>
      </c>
      <c r="H19" s="25" t="n">
        <f aca="false">F19*G19</f>
        <v>0</v>
      </c>
    </row>
    <row r="20" customFormat="false" ht="15" hidden="false" customHeight="true" outlineLevel="0" collapsed="false">
      <c r="A20" s="31" t="n">
        <v>3</v>
      </c>
      <c r="B20" s="33" t="n">
        <f aca="false">$B$5*(1-$B$13-$B$14)^3</f>
        <v>879.217912</v>
      </c>
      <c r="C20" s="33" t="n">
        <f aca="false">B20*$B$6</f>
        <v>10550.614944</v>
      </c>
      <c r="D20" s="19" t="n">
        <f aca="false">C20*$B$9*$B$4/1000</f>
        <v>0</v>
      </c>
      <c r="E20" s="46" t="n">
        <f aca="false">C20*$B$9*$B$4*$B$7/1000</f>
        <v>0</v>
      </c>
      <c r="F20" s="49" t="n">
        <f aca="false">E20-D20</f>
        <v>0</v>
      </c>
      <c r="G20" s="24" t="n">
        <f aca="false">1/(1+$B$12)^3</f>
        <v>0.751314800901578</v>
      </c>
      <c r="H20" s="25" t="n">
        <f aca="false">F20*G20</f>
        <v>0</v>
      </c>
    </row>
    <row r="21" customFormat="false" ht="15" hidden="false" customHeight="true" outlineLevel="0" collapsed="false">
      <c r="A21" s="31" t="n">
        <v>4</v>
      </c>
      <c r="B21" s="33" t="n">
        <f aca="false">$B$5*(1-$B$13-$B$14)^4</f>
        <v>842.290759696</v>
      </c>
      <c r="C21" s="33" t="n">
        <f aca="false">B21*$B$6</f>
        <v>10107.489116352</v>
      </c>
      <c r="D21" s="19" t="n">
        <f aca="false">C21*$B$9*$B$4/1000</f>
        <v>0</v>
      </c>
      <c r="E21" s="46" t="n">
        <f aca="false">C21*$B$9*$B$4*$B$7/1000</f>
        <v>0</v>
      </c>
      <c r="F21" s="49" t="n">
        <f aca="false">E21-D21</f>
        <v>0</v>
      </c>
      <c r="G21" s="24" t="n">
        <f aca="false">1/(1+$B$12)^4</f>
        <v>0.683013455365071</v>
      </c>
      <c r="H21" s="25" t="n">
        <f aca="false">F21*G21</f>
        <v>0</v>
      </c>
    </row>
    <row r="22" customFormat="false" ht="15" hidden="false" customHeight="true" outlineLevel="0" collapsed="false">
      <c r="A22" s="31" t="n">
        <v>5</v>
      </c>
      <c r="B22" s="33" t="n">
        <f aca="false">$B$5*(1-$B$13-$B$14)^5</f>
        <v>806.914547788768</v>
      </c>
      <c r="C22" s="33" t="n">
        <f aca="false">B22*$B$6</f>
        <v>9682.97457346521</v>
      </c>
      <c r="D22" s="19" t="n">
        <f aca="false">C22*$B$9*$B$4/1000</f>
        <v>0</v>
      </c>
      <c r="E22" s="46" t="n">
        <f aca="false">C22*$B$9*$B$4*$B$7/1000</f>
        <v>0</v>
      </c>
      <c r="F22" s="49" t="n">
        <f aca="false">E22-D22</f>
        <v>0</v>
      </c>
      <c r="G22" s="24" t="n">
        <f aca="false">1/(1+$B$12)^5</f>
        <v>0.620921323059155</v>
      </c>
      <c r="H22" s="25" t="n">
        <f aca="false">F22*G22</f>
        <v>0</v>
      </c>
    </row>
    <row r="24" customFormat="false" ht="15" hidden="false" customHeight="true" outlineLevel="0" collapsed="false">
      <c r="A24" s="26" t="s">
        <v>273</v>
      </c>
      <c r="B24" s="26"/>
      <c r="C24" s="26"/>
      <c r="D24" s="26"/>
      <c r="E24" s="26"/>
      <c r="F24" s="26"/>
      <c r="G24" s="26"/>
      <c r="H24" s="26"/>
    </row>
    <row r="25" customFormat="false" ht="15" hidden="false" customHeight="true" outlineLevel="0" collapsed="false">
      <c r="A25" s="4" t="s">
        <v>57</v>
      </c>
      <c r="B25" s="4" t="s">
        <v>143</v>
      </c>
      <c r="C25" s="4" t="s">
        <v>116</v>
      </c>
    </row>
    <row r="26" customFormat="false" ht="15" hidden="false" customHeight="true" outlineLevel="0" collapsed="false">
      <c r="A26" s="27" t="s">
        <v>274</v>
      </c>
      <c r="B26" s="49" t="n">
        <f aca="false">SUM(H18:H22)</f>
        <v>0</v>
      </c>
      <c r="C26" s="28" t="s">
        <v>275</v>
      </c>
      <c r="D26" s="28"/>
      <c r="E26" s="28"/>
      <c r="F26" s="28"/>
      <c r="G26" s="28"/>
      <c r="H26" s="28"/>
    </row>
    <row r="27" customFormat="false" ht="15" hidden="false" customHeight="true" outlineLevel="0" collapsed="false">
      <c r="A27" s="17" t="s">
        <v>276</v>
      </c>
      <c r="B27" s="21" t="n">
        <f aca="false">SUM(F18:F22)</f>
        <v>0</v>
      </c>
      <c r="C27" s="28" t="s">
        <v>277</v>
      </c>
      <c r="D27" s="28"/>
      <c r="E27" s="28"/>
      <c r="F27" s="28"/>
      <c r="G27" s="28"/>
      <c r="H27" s="28"/>
    </row>
    <row r="28" customFormat="false" ht="15" hidden="false" customHeight="true" outlineLevel="0" collapsed="false">
      <c r="A28" s="17" t="s">
        <v>278</v>
      </c>
      <c r="B28" s="21" t="n">
        <f aca="false">B26*1000/$B$5</f>
        <v>0</v>
      </c>
      <c r="C28" s="28" t="s">
        <v>279</v>
      </c>
      <c r="D28" s="28"/>
      <c r="E28" s="28"/>
      <c r="F28" s="28"/>
      <c r="G28" s="28"/>
      <c r="H28" s="28"/>
    </row>
    <row r="29" customFormat="false" ht="15" hidden="false" customHeight="true" outlineLevel="0" collapsed="false">
      <c r="A29" s="17" t="s">
        <v>280</v>
      </c>
      <c r="B29" s="37" t="n">
        <f aca="false">IFERROR(B28/(B5*B4*12),0)</f>
        <v>0</v>
      </c>
      <c r="C29" s="28" t="s">
        <v>281</v>
      </c>
      <c r="D29" s="28"/>
      <c r="E29" s="28"/>
      <c r="F29" s="28"/>
      <c r="G29" s="28"/>
      <c r="H29" s="28"/>
    </row>
    <row r="31" customFormat="false" ht="27.75" hidden="false" customHeight="true" outlineLevel="0" collapsed="false">
      <c r="A31" s="9" t="s">
        <v>282</v>
      </c>
      <c r="B31" s="9"/>
      <c r="C31" s="9"/>
      <c r="D31" s="9"/>
      <c r="E31" s="9"/>
      <c r="F31" s="9"/>
      <c r="G31" s="9"/>
    </row>
  </sheetData>
  <mergeCells count="10">
    <mergeCell ref="A1:H1"/>
    <mergeCell ref="A3:H3"/>
    <mergeCell ref="A4:G4"/>
    <mergeCell ref="A16:H16"/>
    <mergeCell ref="A24:H24"/>
    <mergeCell ref="C26:H26"/>
    <mergeCell ref="C27:H27"/>
    <mergeCell ref="C28:H28"/>
    <mergeCell ref="C29:H29"/>
    <mergeCell ref="A31:G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7" min="2" style="1" width="12"/>
    <col collapsed="false" customWidth="true" hidden="false" outlineLevel="0" max="8" min="8" style="1" width="24"/>
  </cols>
  <sheetData>
    <row r="1" customFormat="false" ht="30" hidden="false" customHeight="true" outlineLevel="0" collapsed="false">
      <c r="A1" s="2" t="s">
        <v>283</v>
      </c>
      <c r="B1" s="2"/>
      <c r="C1" s="2"/>
      <c r="D1" s="2"/>
      <c r="E1" s="2"/>
      <c r="F1" s="2"/>
      <c r="G1" s="2"/>
      <c r="H1" s="2"/>
    </row>
    <row r="3" customFormat="false" ht="15" hidden="false" customHeight="true" outlineLevel="0" collapsed="false">
      <c r="A3" s="10" t="s">
        <v>95</v>
      </c>
      <c r="B3" s="10"/>
      <c r="C3" s="10"/>
      <c r="D3" s="10"/>
      <c r="E3" s="10"/>
      <c r="F3" s="10"/>
      <c r="G3" s="10"/>
      <c r="H3" s="10"/>
    </row>
    <row r="4" customFormat="false" ht="27.75" hidden="false" customHeight="true" outlineLevel="0" collapsed="false">
      <c r="A4" s="9" t="s">
        <v>284</v>
      </c>
      <c r="B4" s="9"/>
      <c r="C4" s="9"/>
      <c r="D4" s="9"/>
      <c r="E4" s="9"/>
      <c r="F4" s="9"/>
      <c r="G4" s="9"/>
    </row>
    <row r="5" customFormat="false" ht="15" hidden="false" customHeight="true" outlineLevel="0" collapsed="false">
      <c r="A5" s="11" t="s">
        <v>285</v>
      </c>
      <c r="B5" s="32" t="n">
        <v>2000</v>
      </c>
      <c r="C5" s="13"/>
      <c r="D5" s="13"/>
      <c r="E5" s="13"/>
      <c r="F5" s="13"/>
      <c r="G5" s="13"/>
      <c r="H5" s="13"/>
    </row>
    <row r="6" customFormat="false" ht="15" hidden="false" customHeight="true" outlineLevel="0" collapsed="false">
      <c r="A6" s="11" t="s">
        <v>286</v>
      </c>
      <c r="B6" s="12" t="n">
        <v>12</v>
      </c>
      <c r="C6" s="13"/>
      <c r="D6" s="13"/>
      <c r="E6" s="13"/>
      <c r="F6" s="13"/>
      <c r="G6" s="13"/>
      <c r="H6" s="13"/>
    </row>
    <row r="7" customFormat="false" ht="15" hidden="false" customHeight="true" outlineLevel="0" collapsed="false">
      <c r="A7" s="11" t="s">
        <v>287</v>
      </c>
      <c r="B7" s="15" t="n">
        <v>0.025</v>
      </c>
      <c r="C7" s="13"/>
      <c r="D7" s="13"/>
      <c r="E7" s="13"/>
      <c r="F7" s="13"/>
      <c r="G7" s="13"/>
      <c r="H7" s="13"/>
    </row>
    <row r="8" customFormat="false" ht="23.25" hidden="false" customHeight="true" outlineLevel="0" collapsed="false">
      <c r="A8" s="11" t="s">
        <v>288</v>
      </c>
      <c r="B8" s="14" t="n">
        <v>0.3</v>
      </c>
      <c r="C8" s="13"/>
      <c r="D8" s="13"/>
      <c r="E8" s="13"/>
      <c r="F8" s="13"/>
      <c r="G8" s="13"/>
      <c r="H8" s="13"/>
    </row>
    <row r="9" customFormat="false" ht="23.25" hidden="false" customHeight="true" outlineLevel="0" collapsed="false">
      <c r="A9" s="11" t="s">
        <v>289</v>
      </c>
      <c r="B9" s="14" t="n">
        <v>0.1</v>
      </c>
      <c r="C9" s="13"/>
      <c r="D9" s="13"/>
      <c r="E9" s="13"/>
      <c r="F9" s="13"/>
      <c r="G9" s="13"/>
      <c r="H9" s="13"/>
    </row>
    <row r="10" customFormat="false" ht="23.25" hidden="false" customHeight="true" outlineLevel="0" collapsed="false">
      <c r="A10" s="11" t="s">
        <v>290</v>
      </c>
      <c r="B10" s="14" t="n">
        <v>0.2</v>
      </c>
      <c r="C10" s="13"/>
      <c r="D10" s="13"/>
      <c r="E10" s="13"/>
      <c r="F10" s="13"/>
      <c r="G10" s="13"/>
      <c r="H10" s="13"/>
    </row>
    <row r="11" customFormat="false" ht="15" hidden="false" customHeight="true" outlineLevel="0" collapsed="false">
      <c r="A11" s="11" t="s">
        <v>129</v>
      </c>
      <c r="B11" s="12" t="n">
        <v>1200</v>
      </c>
      <c r="C11" s="13"/>
      <c r="D11" s="13"/>
      <c r="E11" s="13"/>
      <c r="F11" s="13"/>
      <c r="G11" s="13"/>
      <c r="H11" s="13"/>
    </row>
    <row r="12" customFormat="false" ht="15" hidden="false" customHeight="true" outlineLevel="0" collapsed="false">
      <c r="A12" s="11" t="s">
        <v>53</v>
      </c>
      <c r="B12" s="14" t="n">
        <v>0.2</v>
      </c>
      <c r="C12" s="13"/>
      <c r="D12" s="13"/>
      <c r="E12" s="13"/>
      <c r="F12" s="13"/>
      <c r="G12" s="13"/>
      <c r="H12" s="13"/>
    </row>
    <row r="14" customFormat="false" ht="15" hidden="false" customHeight="true" outlineLevel="0" collapsed="false">
      <c r="A14" s="10" t="s">
        <v>291</v>
      </c>
      <c r="B14" s="10"/>
      <c r="C14" s="10"/>
      <c r="D14" s="10"/>
      <c r="E14" s="10"/>
      <c r="F14" s="10"/>
      <c r="G14" s="10"/>
      <c r="H14" s="10"/>
    </row>
    <row r="15" customFormat="false" ht="15" hidden="false" customHeight="true" outlineLevel="0" collapsed="false">
      <c r="A15" s="4" t="s">
        <v>292</v>
      </c>
      <c r="B15" s="4" t="s">
        <v>293</v>
      </c>
      <c r="C15" s="4" t="s">
        <v>294</v>
      </c>
      <c r="D15" s="4" t="s">
        <v>295</v>
      </c>
      <c r="E15" s="4" t="s">
        <v>296</v>
      </c>
      <c r="F15" s="4" t="s">
        <v>297</v>
      </c>
      <c r="G15" s="4" t="s">
        <v>298</v>
      </c>
      <c r="H15" s="4" t="s">
        <v>299</v>
      </c>
    </row>
    <row r="16" customFormat="false" ht="15" hidden="false" customHeight="true" outlineLevel="0" collapsed="false">
      <c r="A16" s="50" t="n">
        <v>0.25</v>
      </c>
      <c r="B16" s="39" t="n">
        <f aca="false">$B$6*A16</f>
        <v>3</v>
      </c>
      <c r="C16" s="39" t="n">
        <f aca="false">$B$5*$B$7*B16</f>
        <v>150</v>
      </c>
      <c r="D16" s="39" t="n">
        <f aca="false">$B$5*$B$6*(1-A16)*$B$7</f>
        <v>450</v>
      </c>
      <c r="E16" s="46" t="n">
        <f aca="false">D16*(1+$B$10)</f>
        <v>540</v>
      </c>
      <c r="F16" s="21" t="n">
        <f aca="false">1.645*$B$8*C16</f>
        <v>74.025</v>
      </c>
      <c r="G16" s="21" t="n">
        <f aca="false">F16*$B$9</f>
        <v>7.4025</v>
      </c>
      <c r="H16" s="23" t="n">
        <f aca="false">E16+G16</f>
        <v>547.4025</v>
      </c>
    </row>
    <row r="17" customFormat="false" ht="15" hidden="false" customHeight="true" outlineLevel="0" collapsed="false">
      <c r="A17" s="50" t="n">
        <v>0.35</v>
      </c>
      <c r="B17" s="51" t="n">
        <f aca="false">$B$6*A17</f>
        <v>4.2</v>
      </c>
      <c r="C17" s="51" t="n">
        <f aca="false">$B$5*$B$7*B17</f>
        <v>210</v>
      </c>
      <c r="D17" s="51" t="n">
        <f aca="false">$B$5*$B$6*(1-A17)*$B$7</f>
        <v>390</v>
      </c>
      <c r="E17" s="46" t="n">
        <f aca="false">D17*(1+$B$10)</f>
        <v>468</v>
      </c>
      <c r="F17" s="21" t="n">
        <f aca="false">1.645*$B$8*C17</f>
        <v>103.635</v>
      </c>
      <c r="G17" s="21" t="n">
        <f aca="false">F17*$B$9</f>
        <v>10.3635</v>
      </c>
      <c r="H17" s="23" t="n">
        <f aca="false">E17+G17</f>
        <v>478.3635</v>
      </c>
    </row>
    <row r="18" customFormat="false" ht="15" hidden="false" customHeight="true" outlineLevel="0" collapsed="false">
      <c r="A18" s="50" t="n">
        <v>0.5</v>
      </c>
      <c r="B18" s="39" t="n">
        <f aca="false">$B$6*A18</f>
        <v>6</v>
      </c>
      <c r="C18" s="39" t="n">
        <f aca="false">$B$5*$B$7*B18</f>
        <v>300</v>
      </c>
      <c r="D18" s="39" t="n">
        <f aca="false">$B$5*$B$6*(1-A18)*$B$7</f>
        <v>300</v>
      </c>
      <c r="E18" s="46" t="n">
        <f aca="false">D18*(1+$B$10)</f>
        <v>360</v>
      </c>
      <c r="F18" s="21" t="n">
        <f aca="false">1.645*$B$8*C18</f>
        <v>148.05</v>
      </c>
      <c r="G18" s="21" t="n">
        <f aca="false">F18*$B$9</f>
        <v>14.805</v>
      </c>
      <c r="H18" s="23" t="n">
        <f aca="false">E18+G18</f>
        <v>374.805</v>
      </c>
    </row>
    <row r="19" customFormat="false" ht="15" hidden="false" customHeight="true" outlineLevel="0" collapsed="false">
      <c r="A19" s="50" t="n">
        <v>0.6</v>
      </c>
      <c r="B19" s="51" t="n">
        <f aca="false">$B$6*A19</f>
        <v>7.2</v>
      </c>
      <c r="C19" s="51" t="n">
        <f aca="false">$B$5*$B$7*B19</f>
        <v>360</v>
      </c>
      <c r="D19" s="51" t="n">
        <f aca="false">$B$5*$B$6*(1-A19)*$B$7</f>
        <v>240</v>
      </c>
      <c r="E19" s="46" t="n">
        <f aca="false">D19*(1+$B$10)</f>
        <v>288</v>
      </c>
      <c r="F19" s="21" t="n">
        <f aca="false">1.645*$B$8*C19</f>
        <v>177.66</v>
      </c>
      <c r="G19" s="21" t="n">
        <f aca="false">F19*$B$9</f>
        <v>17.766</v>
      </c>
      <c r="H19" s="23" t="n">
        <f aca="false">E19+G19</f>
        <v>305.766</v>
      </c>
    </row>
    <row r="20" customFormat="false" ht="15" hidden="false" customHeight="true" outlineLevel="0" collapsed="false">
      <c r="A20" s="50" t="n">
        <v>0.75</v>
      </c>
      <c r="B20" s="39" t="n">
        <f aca="false">$B$6*A20</f>
        <v>9</v>
      </c>
      <c r="C20" s="39" t="n">
        <f aca="false">$B$5*$B$7*B20</f>
        <v>450</v>
      </c>
      <c r="D20" s="39" t="n">
        <f aca="false">$B$5*$B$6*(1-A20)*$B$7</f>
        <v>150</v>
      </c>
      <c r="E20" s="46" t="n">
        <f aca="false">D20*(1+$B$10)</f>
        <v>180</v>
      </c>
      <c r="F20" s="21" t="n">
        <f aca="false">1.645*$B$8*C20</f>
        <v>222.075</v>
      </c>
      <c r="G20" s="21" t="n">
        <f aca="false">F20*$B$9</f>
        <v>22.2075</v>
      </c>
      <c r="H20" s="23" t="n">
        <f aca="false">E20+G20</f>
        <v>202.2075</v>
      </c>
    </row>
    <row r="21" customFormat="false" ht="15" hidden="false" customHeight="true" outlineLevel="0" collapsed="false">
      <c r="A21" s="50" t="n">
        <v>0.85</v>
      </c>
      <c r="B21" s="51" t="n">
        <f aca="false">$B$6*A21</f>
        <v>10.2</v>
      </c>
      <c r="C21" s="51" t="n">
        <f aca="false">$B$5*$B$7*B21</f>
        <v>510</v>
      </c>
      <c r="D21" s="51" t="n">
        <f aca="false">$B$5*$B$6*(1-A21)*$B$7</f>
        <v>90</v>
      </c>
      <c r="E21" s="46" t="n">
        <f aca="false">D21*(1+$B$10)</f>
        <v>108</v>
      </c>
      <c r="F21" s="21" t="n">
        <f aca="false">1.645*$B$8*C21</f>
        <v>251.685</v>
      </c>
      <c r="G21" s="21" t="n">
        <f aca="false">F21*$B$9</f>
        <v>25.1685</v>
      </c>
      <c r="H21" s="23" t="n">
        <f aca="false">E21+G21</f>
        <v>133.1685</v>
      </c>
    </row>
    <row r="22" customFormat="false" ht="15" hidden="false" customHeight="true" outlineLevel="0" collapsed="false">
      <c r="A22" s="50" t="n">
        <v>1</v>
      </c>
      <c r="B22" s="39" t="n">
        <f aca="false">$B$6*A22</f>
        <v>12</v>
      </c>
      <c r="C22" s="39" t="n">
        <f aca="false">$B$5*$B$7*B22</f>
        <v>600</v>
      </c>
      <c r="D22" s="39" t="n">
        <f aca="false">$B$5*$B$6*(1-A22)*$B$7</f>
        <v>0</v>
      </c>
      <c r="E22" s="46" t="n">
        <f aca="false">D22*(1+$B$10)</f>
        <v>0</v>
      </c>
      <c r="F22" s="21" t="n">
        <f aca="false">1.645*$B$8*C22</f>
        <v>296.1</v>
      </c>
      <c r="G22" s="21" t="n">
        <f aca="false">F22*$B$9</f>
        <v>29.61</v>
      </c>
      <c r="H22" s="23" t="n">
        <f aca="false">E22+G22</f>
        <v>29.61</v>
      </c>
    </row>
    <row r="24" customFormat="false" ht="15" hidden="false" customHeight="true" outlineLevel="0" collapsed="false">
      <c r="A24" s="26" t="s">
        <v>300</v>
      </c>
      <c r="B24" s="26"/>
      <c r="C24" s="26"/>
      <c r="D24" s="26"/>
      <c r="E24" s="26"/>
      <c r="F24" s="26"/>
      <c r="G24" s="26"/>
      <c r="H24" s="26"/>
    </row>
    <row r="25" customFormat="false" ht="15" hidden="false" customHeight="true" outlineLevel="0" collapsed="false">
      <c r="A25" s="4" t="s">
        <v>301</v>
      </c>
      <c r="B25" s="4" t="s">
        <v>302</v>
      </c>
      <c r="C25" s="4" t="s">
        <v>116</v>
      </c>
    </row>
    <row r="26" customFormat="false" ht="15" hidden="false" customHeight="true" outlineLevel="0" collapsed="false">
      <c r="A26" s="52" t="n">
        <f aca="false">INDEX(A16:A22,MATCH(MIN(H16:H22),H16:H22,0))</f>
        <v>1</v>
      </c>
      <c r="B26" s="23" t="n">
        <f aca="false">MIN(H16:H22)</f>
        <v>29.61</v>
      </c>
      <c r="C26" s="28" t="s">
        <v>303</v>
      </c>
      <c r="D26" s="28"/>
      <c r="E26" s="28"/>
      <c r="F26" s="28"/>
      <c r="G26" s="28"/>
      <c r="H26" s="28"/>
    </row>
    <row r="28" customFormat="false" ht="27.75" hidden="false" customHeight="true" outlineLevel="0" collapsed="false">
      <c r="A28" s="9" t="s">
        <v>304</v>
      </c>
      <c r="B28" s="9"/>
      <c r="C28" s="9"/>
      <c r="D28" s="9"/>
      <c r="E28" s="9"/>
      <c r="F28" s="9"/>
      <c r="G28" s="9"/>
    </row>
  </sheetData>
  <mergeCells count="7">
    <mergeCell ref="A1:H1"/>
    <mergeCell ref="A3:H3"/>
    <mergeCell ref="A4:G4"/>
    <mergeCell ref="A14:H14"/>
    <mergeCell ref="A24:H24"/>
    <mergeCell ref="C26:H26"/>
    <mergeCell ref="A28:G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9" min="2" style="1" width="12"/>
    <col collapsed="false" customWidth="true" hidden="false" outlineLevel="0" max="10" min="10" style="1" width="20"/>
  </cols>
  <sheetData>
    <row r="1" customFormat="false" ht="30" hidden="false" customHeight="true" outlineLevel="0" collapsed="false">
      <c r="A1" s="2" t="s">
        <v>305</v>
      </c>
      <c r="B1" s="2"/>
      <c r="C1" s="2"/>
      <c r="D1" s="2"/>
      <c r="E1" s="2"/>
      <c r="F1" s="2"/>
      <c r="G1" s="2"/>
      <c r="H1" s="2"/>
      <c r="I1" s="2"/>
      <c r="J1" s="2"/>
    </row>
    <row r="3" customFormat="false" ht="15" hidden="false" customHeight="true" outlineLevel="0" collapsed="false">
      <c r="A3" s="10" t="s">
        <v>306</v>
      </c>
      <c r="B3" s="10"/>
      <c r="C3" s="10"/>
      <c r="D3" s="10"/>
      <c r="E3" s="10"/>
      <c r="F3" s="10"/>
      <c r="G3" s="10"/>
      <c r="H3" s="10"/>
      <c r="I3" s="10"/>
      <c r="J3" s="10"/>
    </row>
    <row r="4" customFormat="false" ht="27.75" hidden="false" customHeight="true" outlineLevel="0" collapsed="false">
      <c r="A4" s="9" t="s">
        <v>307</v>
      </c>
      <c r="B4" s="9"/>
      <c r="C4" s="9"/>
      <c r="D4" s="9"/>
      <c r="E4" s="9"/>
      <c r="F4" s="9"/>
      <c r="G4" s="9"/>
      <c r="H4" s="9"/>
      <c r="I4" s="9"/>
    </row>
    <row r="5" customFormat="false" ht="15" hidden="false" customHeight="true" outlineLevel="0" collapsed="false">
      <c r="A5" s="11" t="s">
        <v>43</v>
      </c>
      <c r="B5" s="12" t="n">
        <v>1200</v>
      </c>
      <c r="C5" s="13"/>
      <c r="D5" s="13"/>
      <c r="E5" s="13"/>
      <c r="F5" s="13"/>
      <c r="G5" s="13"/>
      <c r="H5" s="13"/>
      <c r="I5" s="13"/>
      <c r="J5" s="13"/>
    </row>
    <row r="6" customFormat="false" ht="15" hidden="false" customHeight="true" outlineLevel="0" collapsed="false">
      <c r="A6" s="11" t="s">
        <v>44</v>
      </c>
      <c r="B6" s="12" t="n">
        <v>12000</v>
      </c>
      <c r="C6" s="13"/>
      <c r="D6" s="13"/>
      <c r="E6" s="13"/>
      <c r="F6" s="13"/>
      <c r="G6" s="13"/>
      <c r="H6" s="13"/>
      <c r="I6" s="13"/>
      <c r="J6" s="13"/>
    </row>
    <row r="7" customFormat="false" ht="15" hidden="false" customHeight="true" outlineLevel="0" collapsed="false">
      <c r="A7" s="11" t="s">
        <v>98</v>
      </c>
      <c r="B7" s="15" t="n">
        <v>0.025</v>
      </c>
      <c r="C7" s="13"/>
      <c r="D7" s="13"/>
      <c r="E7" s="13"/>
      <c r="F7" s="13"/>
      <c r="G7" s="13"/>
      <c r="H7" s="13"/>
      <c r="I7" s="13"/>
      <c r="J7" s="13"/>
    </row>
    <row r="8" customFormat="false" ht="15" hidden="false" customHeight="true" outlineLevel="0" collapsed="false">
      <c r="A8" s="11" t="s">
        <v>99</v>
      </c>
      <c r="B8" s="14" t="n">
        <v>0.35</v>
      </c>
      <c r="C8" s="13"/>
      <c r="D8" s="13"/>
      <c r="E8" s="13"/>
      <c r="F8" s="13"/>
      <c r="G8" s="13"/>
      <c r="H8" s="13"/>
      <c r="I8" s="13"/>
      <c r="J8" s="13"/>
    </row>
    <row r="9" customFormat="false" ht="15" hidden="false" customHeight="true" outlineLevel="0" collapsed="false">
      <c r="A9" s="11" t="s">
        <v>101</v>
      </c>
      <c r="B9" s="14" t="n">
        <v>0.06</v>
      </c>
      <c r="C9" s="13"/>
      <c r="D9" s="13"/>
      <c r="E9" s="13"/>
      <c r="F9" s="13"/>
      <c r="G9" s="13"/>
      <c r="H9" s="13"/>
      <c r="I9" s="13"/>
      <c r="J9" s="13"/>
    </row>
    <row r="10" customFormat="false" ht="15" hidden="false" customHeight="true" outlineLevel="0" collapsed="false">
      <c r="A10" s="11" t="s">
        <v>100</v>
      </c>
      <c r="B10" s="15" t="n">
        <v>0.002</v>
      </c>
      <c r="C10" s="13"/>
      <c r="D10" s="13"/>
      <c r="E10" s="13"/>
      <c r="F10" s="13"/>
      <c r="G10" s="13"/>
      <c r="H10" s="13"/>
      <c r="I10" s="13"/>
      <c r="J10" s="13"/>
    </row>
    <row r="11" customFormat="false" ht="15" hidden="false" customHeight="true" outlineLevel="0" collapsed="false">
      <c r="A11" s="11" t="s">
        <v>132</v>
      </c>
      <c r="B11" s="14" t="n">
        <v>0.04</v>
      </c>
      <c r="C11" s="13"/>
      <c r="D11" s="13"/>
      <c r="E11" s="13"/>
      <c r="F11" s="13"/>
      <c r="G11" s="13"/>
      <c r="H11" s="13"/>
      <c r="I11" s="13"/>
      <c r="J11" s="13"/>
    </row>
    <row r="12" customFormat="false" ht="15" hidden="false" customHeight="true" outlineLevel="0" collapsed="false">
      <c r="A12" s="11" t="s">
        <v>52</v>
      </c>
      <c r="B12" s="14" t="n">
        <v>0.1</v>
      </c>
      <c r="C12" s="13"/>
      <c r="D12" s="13"/>
      <c r="E12" s="13"/>
      <c r="F12" s="13"/>
      <c r="G12" s="13"/>
      <c r="H12" s="13"/>
      <c r="I12" s="13"/>
      <c r="J12" s="13"/>
    </row>
    <row r="13" customFormat="false" ht="15" hidden="false" customHeight="true" outlineLevel="0" collapsed="false">
      <c r="A13" s="11" t="s">
        <v>45</v>
      </c>
      <c r="B13" s="12" t="n">
        <v>300</v>
      </c>
      <c r="C13" s="13"/>
      <c r="D13" s="13"/>
      <c r="E13" s="13"/>
      <c r="F13" s="13"/>
      <c r="G13" s="13"/>
      <c r="H13" s="13"/>
      <c r="I13" s="13"/>
      <c r="J13" s="13"/>
    </row>
    <row r="14" customFormat="false" ht="15" hidden="false" customHeight="true" outlineLevel="0" collapsed="false">
      <c r="A14" s="11" t="s">
        <v>308</v>
      </c>
      <c r="B14" s="14" t="n">
        <v>0.05</v>
      </c>
      <c r="C14" s="13"/>
      <c r="D14" s="13"/>
      <c r="E14" s="13"/>
      <c r="F14" s="13"/>
      <c r="G14" s="13"/>
      <c r="H14" s="13"/>
      <c r="I14" s="13"/>
      <c r="J14" s="13"/>
    </row>
    <row r="15" customFormat="false" ht="15" hidden="false" customHeight="true" outlineLevel="0" collapsed="false">
      <c r="A15" s="11" t="s">
        <v>309</v>
      </c>
      <c r="B15" s="14" t="n">
        <v>0.1</v>
      </c>
      <c r="C15" s="13"/>
      <c r="D15" s="13"/>
      <c r="E15" s="13"/>
      <c r="F15" s="13"/>
      <c r="G15" s="13"/>
      <c r="H15" s="13"/>
      <c r="I15" s="13"/>
      <c r="J15" s="13"/>
    </row>
    <row r="17" customFormat="false" ht="15" hidden="false" customHeight="true" outlineLevel="0" collapsed="false">
      <c r="A17" s="10" t="s">
        <v>310</v>
      </c>
      <c r="B17" s="10"/>
      <c r="C17" s="10"/>
      <c r="D17" s="10"/>
      <c r="E17" s="10"/>
      <c r="F17" s="10"/>
      <c r="G17" s="10"/>
      <c r="H17" s="10"/>
      <c r="I17" s="10"/>
      <c r="J17" s="10"/>
    </row>
    <row r="18" customFormat="false" ht="15" hidden="false" customHeight="true" outlineLevel="0" collapsed="false">
      <c r="A18" s="27" t="s">
        <v>311</v>
      </c>
      <c r="B18" s="23" t="n">
        <f aca="false">((((1-$B$9-$B$7-$B$10)^1*$B$5)-((1-$B$9-$B$7-$B$10)^1*$B$7*$B$6)-($B$13+(1-$B$9-$B$7-$B$10)^1*$B$5*$B$14))/(1+$B$12)^1)+((((1-$B$9-$B$7-$B$10)^2*$B$5)-((1-$B$9-$B$7-$B$10)^2*$B$7*$B$6)-(0+(1-$B$9-$B$7-$B$10)^2*$B$5*$B$14))/(1+$B$12)^2)+((((1-$B$9-$B$7-$B$10)^3*$B$5)-((1-$B$9-$B$7-$B$10)^3*$B$7*$B$6)-(0+(1-$B$9-$B$7-$B$10)^3*$B$5*$B$14))/(1+$B$12)^3)+((((1-$B$9-$B$7-$B$10)^4*$B$5)-((1-$B$9-$B$7-$B$10)^4*$B$7*$B$6)-(0+(1-$B$9-$B$7-$B$10)^4*$B$5*$B$14))/(1+$B$12)^4)+((((1-$B$9-$B$7-$B$10)^5*$B$5)-((1-$B$9-$B$7-$B$10)^5*$B$7*$B$6)-(0+(1-$B$9-$B$7-$B$10)^5*$B$5*$B$14))/(1+$B$12)^5)+((((1-$B$9-$B$7-$B$10)^6*$B$5)-((1-$B$9-$B$7-$B$10)^6*$B$7*$B$6)-(0+(1-$B$9-$B$7-$B$10)^6*$B$5*$B$14))/(1+$B$12)^6)+((((1-$B$9-$B$7-$B$10)^7*$B$5)-((1-$B$9-$B$7-$B$10)^7*$B$7*$B$6)-(0+(1-$B$9-$B$7-$B$10)^7*$B$5*$B$14))/(1+$B$12)^7)+((((1-$B$9-$B$7-$B$10)^8*$B$5)-((1-$B$9-$B$7-$B$10)^8*$B$7*$B$6)-(0+(1-$B$9-$B$7-$B$10)^8*$B$5*$B$14))/(1+$B$12)^8)+((((1-$B$9-$B$7-$B$10)^9*$B$5)-((1-$B$9-$B$7-$B$10)^9*$B$7*$B$6)-(0+(1-$B$9-$B$7-$B$10)^9*$B$5*$B$14))/(1+$B$12)^9)+((((1-$B$9-$B$7-$B$10)^10*$B$5)-((1-$B$9-$B$7-$B$10)^10*$B$7*$B$6)-(0+(1-$B$9-$B$7-$B$10)^10*$B$5*$B$14))/(1+$B$12)^10)</f>
        <v>3192.10896752449</v>
      </c>
      <c r="C18" s="13"/>
      <c r="D18" s="13"/>
      <c r="E18" s="13"/>
      <c r="F18" s="13"/>
      <c r="G18" s="13"/>
      <c r="H18" s="13"/>
      <c r="I18" s="13"/>
      <c r="J18" s="13"/>
    </row>
    <row r="20" customFormat="false" ht="15" hidden="false" customHeight="true" outlineLevel="0" collapsed="false">
      <c r="A20" s="10" t="s">
        <v>312</v>
      </c>
      <c r="B20" s="10"/>
      <c r="C20" s="10"/>
      <c r="D20" s="10"/>
      <c r="E20" s="10"/>
      <c r="F20" s="10"/>
      <c r="G20" s="10"/>
      <c r="H20" s="10"/>
      <c r="I20" s="10"/>
      <c r="J20" s="10"/>
    </row>
    <row r="21" customFormat="false" ht="15" hidden="false" customHeight="true" outlineLevel="0" collapsed="false">
      <c r="A21" s="4" t="s">
        <v>313</v>
      </c>
      <c r="B21" s="4" t="s">
        <v>314</v>
      </c>
      <c r="C21" s="4" t="s">
        <v>315</v>
      </c>
      <c r="D21" s="4" t="s">
        <v>316</v>
      </c>
      <c r="E21" s="4" t="s">
        <v>317</v>
      </c>
      <c r="F21" s="4" t="s">
        <v>318</v>
      </c>
      <c r="G21" s="4" t="s">
        <v>319</v>
      </c>
      <c r="H21" s="4" t="s">
        <v>320</v>
      </c>
    </row>
    <row r="22" customFormat="false" ht="15" hidden="false" customHeight="true" outlineLevel="0" collapsed="false">
      <c r="A22" s="17" t="s">
        <v>321</v>
      </c>
      <c r="B22" s="53" t="n">
        <f aca="false">$B$7</f>
        <v>0.025</v>
      </c>
      <c r="C22" s="54" t="n">
        <f aca="false">$B$7*(1+$B$15)</f>
        <v>0.0275</v>
      </c>
      <c r="D22" s="39" t="n">
        <f aca="false">$B$18</f>
        <v>3192.10896752449</v>
      </c>
      <c r="E22" s="21" t="n">
        <f aca="false">((((1-$B$9-$B$7*(1+$B$15)-$B$10)^1*$B$5)-((1-$B$9-$B$7*(1+$B$15)-$B$10)^1*$B$7*(1+$B$15)*$B$6)-($B$13+(1-$B$9-$B$7*(1+$B$15)-$B$10)^1*$B$5*$B$14))/(1+$B$12)^1)+((((1-$B$9-$B$7*(1+$B$15)-$B$10)^2*$B$5)-((1-$B$9-$B$7*(1+$B$15)-$B$10)^2*$B$7*(1+$B$15)*$B$6)-(0+(1-$B$9-$B$7*(1+$B$15)-$B$10)^2*$B$5*$B$14))/(1+$B$12)^2)+((((1-$B$9-$B$7*(1+$B$15)-$B$10)^3*$B$5)-((1-$B$9-$B$7*(1+$B$15)-$B$10)^3*$B$7*(1+$B$15)*$B$6)-(0+(1-$B$9-$B$7*(1+$B$15)-$B$10)^3*$B$5*$B$14))/(1+$B$12)^3)+((((1-$B$9-$B$7*(1+$B$15)-$B$10)^4*$B$5)-((1-$B$9-$B$7*(1+$B$15)-$B$10)^4*$B$7*(1+$B$15)*$B$6)-(0+(1-$B$9-$B$7*(1+$B$15)-$B$10)^4*$B$5*$B$14))/(1+$B$12)^4)+((((1-$B$9-$B$7*(1+$B$15)-$B$10)^5*$B$5)-((1-$B$9-$B$7*(1+$B$15)-$B$10)^5*$B$7*(1+$B$15)*$B$6)-(0+(1-$B$9-$B$7*(1+$B$15)-$B$10)^5*$B$5*$B$14))/(1+$B$12)^5)+((((1-$B$9-$B$7*(1+$B$15)-$B$10)^6*$B$5)-((1-$B$9-$B$7*(1+$B$15)-$B$10)^6*$B$7*(1+$B$15)*$B$6)-(0+(1-$B$9-$B$7*(1+$B$15)-$B$10)^6*$B$5*$B$14))/(1+$B$12)^6)+((((1-$B$9-$B$7*(1+$B$15)-$B$10)^7*$B$5)-((1-$B$9-$B$7*(1+$B$15)-$B$10)^7*$B$7*(1+$B$15)*$B$6)-(0+(1-$B$9-$B$7*(1+$B$15)-$B$10)^7*$B$5*$B$14))/(1+$B$12)^7)+((((1-$B$9-$B$7*(1+$B$15)-$B$10)^8*$B$5)-((1-$B$9-$B$7*(1+$B$15)-$B$10)^8*$B$7*(1+$B$15)*$B$6)-(0+(1-$B$9-$B$7*(1+$B$15)-$B$10)^8*$B$5*$B$14))/(1+$B$12)^8)+((((1-$B$9-$B$7*(1+$B$15)-$B$10)^9*$B$5)-((1-$B$9-$B$7*(1+$B$15)-$B$10)^9*$B$7*(1+$B$15)*$B$6)-(0+(1-$B$9-$B$7*(1+$B$15)-$B$10)^9*$B$5*$B$14))/(1+$B$12)^9)+((((1-$B$9-$B$7*(1+$B$15)-$B$10)^10*$B$5)-((1-$B$9-$B$7*(1+$B$15)-$B$10)^10*$B$7*(1+$B$15)*$B$6)-(0+(1-$B$9-$B$7*(1+$B$15)-$B$10)^10*$B$5*$B$14))/(1+$B$12)^10)</f>
        <v>3031.59191525337</v>
      </c>
      <c r="F22" s="36" t="n">
        <f aca="false">E22-D22</f>
        <v>-160.51705227112</v>
      </c>
      <c r="G22" s="55" t="n">
        <f aca="false">IF($B$18&lt;&gt;0,(E22-D22)/$B$18,0)</f>
        <v>-0.0502855804435781</v>
      </c>
      <c r="H22" s="56" t="n">
        <f aca="false">RANK(ABS(F22),ABS(F22:F30),1)</f>
        <v>1</v>
      </c>
    </row>
    <row r="23" customFormat="false" ht="15" hidden="false" customHeight="true" outlineLevel="0" collapsed="false">
      <c r="A23" s="17" t="s">
        <v>322</v>
      </c>
      <c r="B23" s="51" t="n">
        <f aca="false">$B$6</f>
        <v>12000</v>
      </c>
      <c r="C23" s="21" t="n">
        <f aca="false">$B$6*(1+$B$15)</f>
        <v>13200</v>
      </c>
      <c r="D23" s="51" t="n">
        <f aca="false">$B$18</f>
        <v>3192.10896752449</v>
      </c>
      <c r="E23" s="21" t="n">
        <f aca="false">((((1-$B$9-$B$7-$B$10)^1*$B$5)-((1-$B$9-$B$7-$B$10)^1*$B$7*$B$6*(1+$B$15))-($B$13+(1-$B$9-$B$7-$B$10)^1*$B$5*$B$14))/(1+$B$12)^1)+((((1-$B$9-$B$7-$B$10)^2*$B$5)-((1-$B$9-$B$7-$B$10)^2*$B$7*$B$6*(1+$B$15))-(0+(1-$B$9-$B$7-$B$10)^2*$B$5*$B$14))/(1+$B$12)^2)+((((1-$B$9-$B$7-$B$10)^3*$B$5)-((1-$B$9-$B$7-$B$10)^3*$B$7*$B$6*(1+$B$15))-(0+(1-$B$9-$B$7-$B$10)^3*$B$5*$B$14))/(1+$B$12)^3)+((((1-$B$9-$B$7-$B$10)^4*$B$5)-((1-$B$9-$B$7-$B$10)^4*$B$7*$B$6*(1+$B$15))-(0+(1-$B$9-$B$7-$B$10)^4*$B$5*$B$14))/(1+$B$12)^4)+((((1-$B$9-$B$7-$B$10)^5*$B$5)-((1-$B$9-$B$7-$B$10)^5*$B$7*$B$6*(1+$B$15))-(0+(1-$B$9-$B$7-$B$10)^5*$B$5*$B$14))/(1+$B$12)^5)+((((1-$B$9-$B$7-$B$10)^6*$B$5)-((1-$B$9-$B$7-$B$10)^6*$B$7*$B$6*(1+$B$15))-(0+(1-$B$9-$B$7-$B$10)^6*$B$5*$B$14))/(1+$B$12)^6)+((((1-$B$9-$B$7-$B$10)^7*$B$5)-((1-$B$9-$B$7-$B$10)^7*$B$7*$B$6*(1+$B$15))-(0+(1-$B$9-$B$7-$B$10)^7*$B$5*$B$14))/(1+$B$12)^7)+((((1-$B$9-$B$7-$B$10)^8*$B$5)-((1-$B$9-$B$7-$B$10)^8*$B$7*$B$6*(1+$B$15))-(0+(1-$B$9-$B$7-$B$10)^8*$B$5*$B$14))/(1+$B$12)^8)+((((1-$B$9-$B$7-$B$10)^9*$B$5)-((1-$B$9-$B$7-$B$10)^9*$B$7*$B$6*(1+$B$15))-(0+(1-$B$9-$B$7-$B$10)^9*$B$5*$B$14))/(1+$B$12)^9)+((((1-$B$9-$B$7-$B$10)^10*$B$5)-((1-$B$9-$B$7-$B$10)^10*$B$7*$B$6*(1+$B$15))-(0+(1-$B$9-$B$7-$B$10)^10*$B$5*$B$14))/(1+$B$12)^10)</f>
        <v>3068.36481608693</v>
      </c>
      <c r="F23" s="36" t="n">
        <f aca="false">E23-D23</f>
        <v>-123.744151437563</v>
      </c>
      <c r="G23" s="55" t="n">
        <f aca="false">IF($B$18&lt;&gt;0,(E23-D23)/$B$18,0)</f>
        <v>-0.0387656413664122</v>
      </c>
      <c r="H23" s="57" t="n">
        <f aca="false">RANK(ABS(F23),ABS(F22:F30),1)</f>
        <v>1</v>
      </c>
    </row>
    <row r="24" customFormat="false" ht="15" hidden="false" customHeight="true" outlineLevel="0" collapsed="false">
      <c r="A24" s="17" t="s">
        <v>323</v>
      </c>
      <c r="B24" s="40" t="n">
        <f aca="false">$B$8</f>
        <v>0.35</v>
      </c>
      <c r="C24" s="37" t="n">
        <f aca="false">$B$8*(1-$B$15)</f>
        <v>0.315</v>
      </c>
      <c r="D24" s="39" t="n">
        <f aca="false">$B$18</f>
        <v>3192.10896752449</v>
      </c>
      <c r="E24" s="21" t="n">
        <f aca="false">((((1-$B$9-$B$7-$B$10)^1*$B$5)-((1-$B$9-$B$7-$B$10)^1*$B$7*$B$6)-($B$13+(1-$B$9-$B$7-$B$10)^1*$B$5*$B$14))/(1+$B$12)^1)+((((1-$B$9-$B$7-$B$10)^2*$B$5)-((1-$B$9-$B$7-$B$10)^2*$B$7*$B$6)-(0+(1-$B$9-$B$7-$B$10)^2*$B$5*$B$14))/(1+$B$12)^2)+((((1-$B$9-$B$7-$B$10)^3*$B$5)-((1-$B$9-$B$7-$B$10)^3*$B$7*$B$6)-(0+(1-$B$9-$B$7-$B$10)^3*$B$5*$B$14))/(1+$B$12)^3)+((((1-$B$9-$B$7-$B$10)^4*$B$5)-((1-$B$9-$B$7-$B$10)^4*$B$7*$B$6)-(0+(1-$B$9-$B$7-$B$10)^4*$B$5*$B$14))/(1+$B$12)^4)+((((1-$B$9-$B$7-$B$10)^5*$B$5)-((1-$B$9-$B$7-$B$10)^5*$B$7*$B$6)-(0+(1-$B$9-$B$7-$B$10)^5*$B$5*$B$14))/(1+$B$12)^5)+((((1-$B$9-$B$7-$B$10)^6*$B$5)-((1-$B$9-$B$7-$B$10)^6*$B$7*$B$6)-(0+(1-$B$9-$B$7-$B$10)^6*$B$5*$B$14))/(1+$B$12)^6)+((((1-$B$9-$B$7-$B$10)^7*$B$5)-((1-$B$9-$B$7-$B$10)^7*$B$7*$B$6)-(0+(1-$B$9-$B$7-$B$10)^7*$B$5*$B$14))/(1+$B$12)^7)+((((1-$B$9-$B$7-$B$10)^8*$B$5)-((1-$B$9-$B$7-$B$10)^8*$B$7*$B$6)-(0+(1-$B$9-$B$7-$B$10)^8*$B$5*$B$14))/(1+$B$12)^8)+((((1-$B$9-$B$7-$B$10)^9*$B$5)-((1-$B$9-$B$7-$B$10)^9*$B$7*$B$6)-(0+(1-$B$9-$B$7-$B$10)^9*$B$5*$B$14))/(1+$B$12)^9)+((((1-$B$9-$B$7-$B$10)^10*$B$5)-((1-$B$9-$B$7-$B$10)^10*$B$7*$B$6)-(0+(1-$B$9-$B$7-$B$10)^10*$B$5*$B$14))/(1+$B$12)^10)</f>
        <v>3192.10896752449</v>
      </c>
      <c r="F24" s="36" t="n">
        <f aca="false">E24-D24</f>
        <v>0</v>
      </c>
      <c r="G24" s="55" t="n">
        <f aca="false">IF($B$18&lt;&gt;0,(E24-D24)/$B$18,0)</f>
        <v>0</v>
      </c>
      <c r="H24" s="56" t="n">
        <f aca="false">RANK(ABS(F24),ABS(F22:F30),1)</f>
        <v>1</v>
      </c>
    </row>
    <row r="25" customFormat="false" ht="23.25" hidden="false" customHeight="true" outlineLevel="0" collapsed="false">
      <c r="A25" s="17" t="s">
        <v>324</v>
      </c>
      <c r="B25" s="51" t="n">
        <f aca="false">$B$5</f>
        <v>1200</v>
      </c>
      <c r="C25" s="21" t="n">
        <f aca="false">$B$5*(1-$B$15)</f>
        <v>1080</v>
      </c>
      <c r="D25" s="51" t="n">
        <f aca="false">$B$18</f>
        <v>3192.10896752449</v>
      </c>
      <c r="E25" s="21" t="n">
        <f aca="false">((((1-$B$9-$B$7-$B$10)^1*$B$5*(1-$B$15))-((1-$B$9-$B$7-$B$10)^1*$B$7*$B$6)-($B$13+(1-$B$9-$B$7-$B$10)^1*$B$5*(1-$B$15)*$B$14))/(1+$B$12)^1)+((((1-$B$9-$B$7-$B$10)^2*$B$5*(1-$B$15))-((1-$B$9-$B$7-$B$10)^2*$B$7*$B$6)-(0+(1-$B$9-$B$7-$B$10)^2*$B$5*(1-$B$15)*$B$14))/(1+$B$12)^2)+((((1-$B$9-$B$7-$B$10)^3*$B$5*(1-$B$15))-((1-$B$9-$B$7-$B$10)^3*$B$7*$B$6)-(0+(1-$B$9-$B$7-$B$10)^3*$B$5*(1-$B$15)*$B$14))/(1+$B$12)^3)+((((1-$B$9-$B$7-$B$10)^4*$B$5*(1-$B$15))-((1-$B$9-$B$7-$B$10)^4*$B$7*$B$6)-(0+(1-$B$9-$B$7-$B$10)^4*$B$5*(1-$B$15)*$B$14))/(1+$B$12)^4)+((((1-$B$9-$B$7-$B$10)^5*$B$5*(1-$B$15))-((1-$B$9-$B$7-$B$10)^5*$B$7*$B$6)-(0+(1-$B$9-$B$7-$B$10)^5*$B$5*(1-$B$15)*$B$14))/(1+$B$12)^5)+((((1-$B$9-$B$7-$B$10)^6*$B$5*(1-$B$15))-((1-$B$9-$B$7-$B$10)^6*$B$7*$B$6)-(0+(1-$B$9-$B$7-$B$10)^6*$B$5*(1-$B$15)*$B$14))/(1+$B$12)^6)+((((1-$B$9-$B$7-$B$10)^7*$B$5*(1-$B$15))-((1-$B$9-$B$7-$B$10)^7*$B$7*$B$6)-(0+(1-$B$9-$B$7-$B$10)^7*$B$5*(1-$B$15)*$B$14))/(1+$B$12)^7)+((((1-$B$9-$B$7-$B$10)^8*$B$5*(1-$B$15))-((1-$B$9-$B$7-$B$10)^8*$B$7*$B$6)-(0+(1-$B$9-$B$7-$B$10)^8*$B$5*(1-$B$15)*$B$14))/(1+$B$12)^8)+((((1-$B$9-$B$7-$B$10)^9*$B$5*(1-$B$15))-((1-$B$9-$B$7-$B$10)^9*$B$7*$B$6)-(0+(1-$B$9-$B$7-$B$10)^9*$B$5*(1-$B$15)*$B$14))/(1+$B$12)^9)+((((1-$B$9-$B$7-$B$10)^10*$B$5*(1-$B$15))-((1-$B$9-$B$7-$B$10)^10*$B$7*$B$6)-(0+(1-$B$9-$B$7-$B$10)^10*$B$5*(1-$B$15)*$B$14))/(1+$B$12)^10)</f>
        <v>2721.88119206175</v>
      </c>
      <c r="F25" s="36" t="n">
        <f aca="false">E25-D25</f>
        <v>-470.22777546274</v>
      </c>
      <c r="G25" s="55" t="n">
        <f aca="false">IF($B$18&lt;&gt;0,(E25-D25)/$B$18,0)</f>
        <v>-0.147309437192367</v>
      </c>
      <c r="H25" s="57" t="n">
        <f aca="false">RANK(ABS(F25),ABS(F22:F30),1)</f>
        <v>1</v>
      </c>
    </row>
    <row r="26" customFormat="false" ht="15" hidden="false" customHeight="true" outlineLevel="0" collapsed="false">
      <c r="A26" s="17" t="s">
        <v>325</v>
      </c>
      <c r="B26" s="40" t="n">
        <f aca="false">$B$9</f>
        <v>0.06</v>
      </c>
      <c r="C26" s="37" t="n">
        <f aca="false">$B$9*(1+$B$15)</f>
        <v>0.066</v>
      </c>
      <c r="D26" s="39" t="n">
        <f aca="false">$B$18</f>
        <v>3192.10896752449</v>
      </c>
      <c r="E26" s="21" t="n">
        <f aca="false">((((1-$B$9*(1+$B$15)-$B$7-$B$10)^1*$B$5)-((1-$B$9*(1+$B$15)-$B$7-$B$10)^1*$B$7*$B$6)-($B$13+(1-$B$9*(1+$B$15)-$B$7-$B$10)^1*$B$5*$B$14))/(1+$B$12)^1)+((((1-$B$9*(1+$B$15)-$B$7-$B$10)^2*$B$5)-((1-$B$9*(1+$B$15)-$B$7-$B$10)^2*$B$7*$B$6)-(0+(1-$B$9*(1+$B$15)-$B$7-$B$10)^2*$B$5*$B$14))/(1+$B$12)^2)+((((1-$B$9*(1+$B$15)-$B$7-$B$10)^3*$B$5)-((1-$B$9*(1+$B$15)-$B$7-$B$10)^3*$B$7*$B$6)-(0+(1-$B$9*(1+$B$15)-$B$7-$B$10)^3*$B$5*$B$14))/(1+$B$12)^3)+((((1-$B$9*(1+$B$15)-$B$7-$B$10)^4*$B$5)-((1-$B$9*(1+$B$15)-$B$7-$B$10)^4*$B$7*$B$6)-(0+(1-$B$9*(1+$B$15)-$B$7-$B$10)^4*$B$5*$B$14))/(1+$B$12)^4)+((((1-$B$9*(1+$B$15)-$B$7-$B$10)^5*$B$5)-((1-$B$9*(1+$B$15)-$B$7-$B$10)^5*$B$7*$B$6)-(0+(1-$B$9*(1+$B$15)-$B$7-$B$10)^5*$B$5*$B$14))/(1+$B$12)^5)+((((1-$B$9*(1+$B$15)-$B$7-$B$10)^6*$B$5)-((1-$B$9*(1+$B$15)-$B$7-$B$10)^6*$B$7*$B$6)-(0+(1-$B$9*(1+$B$15)-$B$7-$B$10)^6*$B$5*$B$14))/(1+$B$12)^6)+((((1-$B$9*(1+$B$15)-$B$7-$B$10)^7*$B$5)-((1-$B$9*(1+$B$15)-$B$7-$B$10)^7*$B$7*$B$6)-(0+(1-$B$9*(1+$B$15)-$B$7-$B$10)^7*$B$5*$B$14))/(1+$B$12)^7)+((((1-$B$9*(1+$B$15)-$B$7-$B$10)^8*$B$5)-((1-$B$9*(1+$B$15)-$B$7-$B$10)^8*$B$7*$B$6)-(0+(1-$B$9*(1+$B$15)-$B$7-$B$10)^8*$B$5*$B$14))/(1+$B$12)^8)+((((1-$B$9*(1+$B$15)-$B$7-$B$10)^9*$B$5)-((1-$B$9*(1+$B$15)-$B$7-$B$10)^9*$B$7*$B$6)-(0+(1-$B$9*(1+$B$15)-$B$7-$B$10)^9*$B$5*$B$14))/(1+$B$12)^9)+((((1-$B$9*(1+$B$15)-$B$7-$B$10)^10*$B$5)-((1-$B$9*(1+$B$15)-$B$7-$B$10)^10*$B$7*$B$6)-(0+(1-$B$9*(1+$B$15)-$B$7-$B$10)^10*$B$5*$B$14))/(1+$B$12)^10)</f>
        <v>3101.41426355323</v>
      </c>
      <c r="F26" s="36" t="n">
        <f aca="false">E26-D26</f>
        <v>-90.6947039712654</v>
      </c>
      <c r="G26" s="55" t="n">
        <f aca="false">IF($B$18&lt;&gt;0,(E26-D26)/$B$18,0)</f>
        <v>-0.0284121578849484</v>
      </c>
      <c r="H26" s="56" t="n">
        <f aca="false">RANK(ABS(F26),ABS(F22:F30),1)</f>
        <v>1</v>
      </c>
    </row>
    <row r="27" customFormat="false" ht="15" hidden="false" customHeight="true" outlineLevel="0" collapsed="false">
      <c r="A27" s="17" t="s">
        <v>326</v>
      </c>
      <c r="B27" s="58" t="n">
        <f aca="false">$B$11</f>
        <v>0.04</v>
      </c>
      <c r="C27" s="37" t="n">
        <f aca="false">$B$11*(1-$B$15)</f>
        <v>0.036</v>
      </c>
      <c r="D27" s="51" t="n">
        <f aca="false">$B$18</f>
        <v>3192.10896752449</v>
      </c>
      <c r="E27" s="21" t="n">
        <f aca="false">((((1-$B$9-$B$7-$B$10)^1*$B$5)-((1-$B$9-$B$7-$B$10)^1*$B$7*$B$6)-($B$13+(1-$B$9-$B$7-$B$10)^1*$B$5*$B$14))/(1+$B$12)^1)+((((1-$B$9-$B$7-$B$10)^2*$B$5)-((1-$B$9-$B$7-$B$10)^2*$B$7*$B$6)-(0+(1-$B$9-$B$7-$B$10)^2*$B$5*$B$14))/(1+$B$12)^2)+((((1-$B$9-$B$7-$B$10)^3*$B$5)-((1-$B$9-$B$7-$B$10)^3*$B$7*$B$6)-(0+(1-$B$9-$B$7-$B$10)^3*$B$5*$B$14))/(1+$B$12)^3)+((((1-$B$9-$B$7-$B$10)^4*$B$5)-((1-$B$9-$B$7-$B$10)^4*$B$7*$B$6)-(0+(1-$B$9-$B$7-$B$10)^4*$B$5*$B$14))/(1+$B$12)^4)+((((1-$B$9-$B$7-$B$10)^5*$B$5)-((1-$B$9-$B$7-$B$10)^5*$B$7*$B$6)-(0+(1-$B$9-$B$7-$B$10)^5*$B$5*$B$14))/(1+$B$12)^5)+((((1-$B$9-$B$7-$B$10)^6*$B$5)-((1-$B$9-$B$7-$B$10)^6*$B$7*$B$6)-(0+(1-$B$9-$B$7-$B$10)^6*$B$5*$B$14))/(1+$B$12)^6)+((((1-$B$9-$B$7-$B$10)^7*$B$5)-((1-$B$9-$B$7-$B$10)^7*$B$7*$B$6)-(0+(1-$B$9-$B$7-$B$10)^7*$B$5*$B$14))/(1+$B$12)^7)+((((1-$B$9-$B$7-$B$10)^8*$B$5)-((1-$B$9-$B$7-$B$10)^8*$B$7*$B$6)-(0+(1-$B$9-$B$7-$B$10)^8*$B$5*$B$14))/(1+$B$12)^8)+((((1-$B$9-$B$7-$B$10)^9*$B$5)-((1-$B$9-$B$7-$B$10)^9*$B$7*$B$6)-(0+(1-$B$9-$B$7-$B$10)^9*$B$5*$B$14))/(1+$B$12)^9)+((((1-$B$9-$B$7-$B$10)^10*$B$5)-((1-$B$9-$B$7-$B$10)^10*$B$7*$B$6)-(0+(1-$B$9-$B$7-$B$10)^10*$B$5*$B$14))/(1+$B$12)^10)</f>
        <v>3192.10896752449</v>
      </c>
      <c r="F27" s="36" t="n">
        <f aca="false">E27-D27</f>
        <v>0</v>
      </c>
      <c r="G27" s="55" t="n">
        <f aca="false">IF($B$18&lt;&gt;0,(E27-D27)/$B$18,0)</f>
        <v>0</v>
      </c>
      <c r="H27" s="57" t="n">
        <f aca="false">RANK(ABS(F27),ABS(F22:F30),1)</f>
        <v>1</v>
      </c>
    </row>
    <row r="28" customFormat="false" ht="15" hidden="false" customHeight="true" outlineLevel="0" collapsed="false">
      <c r="A28" s="17" t="s">
        <v>327</v>
      </c>
      <c r="B28" s="40" t="n">
        <f aca="false">$B$12</f>
        <v>0.1</v>
      </c>
      <c r="C28" s="37" t="n">
        <f aca="false">$B$12*(1+$B$15)</f>
        <v>0.11</v>
      </c>
      <c r="D28" s="39" t="n">
        <f aca="false">$B$18</f>
        <v>3192.10896752449</v>
      </c>
      <c r="E28" s="21" t="n">
        <f aca="false">((((1-$B$9-$B$7-$B$10)^1*$B$5)-((1-$B$9-$B$7-$B$10)^1*$B$7*$B$6)-($B$13+(1-$B$9-$B$7-$B$10)^1*$B$5*$B$14))/(1+$B$12*(1+$B$15))^1)+((((1-$B$9-$B$7-$B$10)^2*$B$5)-((1-$B$9-$B$7-$B$10)^2*$B$7*$B$6)-(0+(1-$B$9-$B$7-$B$10)^2*$B$5*$B$14))/(1+$B$12*(1+$B$15))^2)+((((1-$B$9-$B$7-$B$10)^3*$B$5)-((1-$B$9-$B$7-$B$10)^3*$B$7*$B$6)-(0+(1-$B$9-$B$7-$B$10)^3*$B$5*$B$14))/(1+$B$12*(1+$B$15))^3)+((((1-$B$9-$B$7-$B$10)^4*$B$5)-((1-$B$9-$B$7-$B$10)^4*$B$7*$B$6)-(0+(1-$B$9-$B$7-$B$10)^4*$B$5*$B$14))/(1+$B$12*(1+$B$15))^4)+((((1-$B$9-$B$7-$B$10)^5*$B$5)-((1-$B$9-$B$7-$B$10)^5*$B$7*$B$6)-(0+(1-$B$9-$B$7-$B$10)^5*$B$5*$B$14))/(1+$B$12*(1+$B$15))^5)+((((1-$B$9-$B$7-$B$10)^6*$B$5)-((1-$B$9-$B$7-$B$10)^6*$B$7*$B$6)-(0+(1-$B$9-$B$7-$B$10)^6*$B$5*$B$14))/(1+$B$12*(1+$B$15))^6)+((((1-$B$9-$B$7-$B$10)^7*$B$5)-((1-$B$9-$B$7-$B$10)^7*$B$7*$B$6)-(0+(1-$B$9-$B$7-$B$10)^7*$B$5*$B$14))/(1+$B$12*(1+$B$15))^7)+((((1-$B$9-$B$7-$B$10)^8*$B$5)-((1-$B$9-$B$7-$B$10)^8*$B$7*$B$6)-(0+(1-$B$9-$B$7-$B$10)^8*$B$5*$B$14))/(1+$B$12*(1+$B$15))^8)+((((1-$B$9-$B$7-$B$10)^9*$B$5)-((1-$B$9-$B$7-$B$10)^9*$B$7*$B$6)-(0+(1-$B$9-$B$7-$B$10)^9*$B$5*$B$14))/(1+$B$12*(1+$B$15))^9)+((((1-$B$9-$B$7-$B$10)^10*$B$5)-((1-$B$9-$B$7-$B$10)^10*$B$7*$B$6)-(0+(1-$B$9-$B$7-$B$10)^10*$B$5*$B$14))/(1+$B$12*(1+$B$15))^10)</f>
        <v>3070.94990073099</v>
      </c>
      <c r="F28" s="36" t="n">
        <f aca="false">E28-D28</f>
        <v>-121.159066793504</v>
      </c>
      <c r="G28" s="55" t="n">
        <f aca="false">IF($B$18&lt;&gt;0,(E28-D28)/$B$18,0)</f>
        <v>-0.0379558054020517</v>
      </c>
      <c r="H28" s="56" t="n">
        <f aca="false">RANK(ABS(F28),ABS(F22:F30),1)</f>
        <v>1</v>
      </c>
    </row>
    <row r="29" customFormat="false" ht="15" hidden="false" customHeight="true" outlineLevel="0" collapsed="false">
      <c r="A29" s="17" t="s">
        <v>328</v>
      </c>
      <c r="B29" s="51" t="n">
        <f aca="false">$B$13</f>
        <v>300</v>
      </c>
      <c r="C29" s="21" t="n">
        <f aca="false">$B$13*(1+$B$15)</f>
        <v>330</v>
      </c>
      <c r="D29" s="51" t="n">
        <f aca="false">$B$18</f>
        <v>3192.10896752449</v>
      </c>
      <c r="E29" s="21" t="n">
        <f aca="false">((((1-$B$9-$B$7-$B$10)^1*$B$5)-((1-$B$9-$B$7-$B$10)^1*$B$7*$B$6)-($B$13+(1-$B$9-$B$7-$B$10)^1*$B$5*$B$14))/(1+$B$12)^1)+((((1-$B$9-$B$7-$B$10)^2*$B$5)-((1-$B$9-$B$7-$B$10)^2*$B$7*$B$6)-(0+(1-$B$9-$B$7-$B$10)^2*$B$5*$B$14))/(1+$B$12)^2)+((((1-$B$9-$B$7-$B$10)^3*$B$5)-((1-$B$9-$B$7-$B$10)^3*$B$7*$B$6)-(0+(1-$B$9-$B$7-$B$10)^3*$B$5*$B$14))/(1+$B$12)^3)+((((1-$B$9-$B$7-$B$10)^4*$B$5)-((1-$B$9-$B$7-$B$10)^4*$B$7*$B$6)-(0+(1-$B$9-$B$7-$B$10)^4*$B$5*$B$14))/(1+$B$12)^4)+((((1-$B$9-$B$7-$B$10)^5*$B$5)-((1-$B$9-$B$7-$B$10)^5*$B$7*$B$6)-(0+(1-$B$9-$B$7-$B$10)^5*$B$5*$B$14))/(1+$B$12)^5)+((((1-$B$9-$B$7-$B$10)^6*$B$5)-((1-$B$9-$B$7-$B$10)^6*$B$7*$B$6)-(0+(1-$B$9-$B$7-$B$10)^6*$B$5*$B$14))/(1+$B$12)^6)+((((1-$B$9-$B$7-$B$10)^7*$B$5)-((1-$B$9-$B$7-$B$10)^7*$B$7*$B$6)-(0+(1-$B$9-$B$7-$B$10)^7*$B$5*$B$14))/(1+$B$12)^7)+((((1-$B$9-$B$7-$B$10)^8*$B$5)-((1-$B$9-$B$7-$B$10)^8*$B$7*$B$6)-(0+(1-$B$9-$B$7-$B$10)^8*$B$5*$B$14))/(1+$B$12)^8)+((((1-$B$9-$B$7-$B$10)^9*$B$5)-((1-$B$9-$B$7-$B$10)^9*$B$7*$B$6)-(0+(1-$B$9-$B$7-$B$10)^9*$B$5*$B$14))/(1+$B$12)^9)+((((1-$B$9-$B$7-$B$10)^10*$B$5)-((1-$B$9-$B$7-$B$10)^10*$B$7*$B$6)-(0+(1-$B$9-$B$7-$B$10)^10*$B$5*$B$14))/(1+$B$12)^10)</f>
        <v>3192.10896752449</v>
      </c>
      <c r="F29" s="36" t="n">
        <f aca="false">E29-D29</f>
        <v>0</v>
      </c>
      <c r="G29" s="55" t="n">
        <f aca="false">IF($B$18&lt;&gt;0,(E29-D29)/$B$18,0)</f>
        <v>0</v>
      </c>
      <c r="H29" s="57" t="n">
        <f aca="false">RANK(ABS(F29),ABS(F22:F30),1)</f>
        <v>1</v>
      </c>
    </row>
    <row r="30" customFormat="false" ht="15" hidden="false" customHeight="true" outlineLevel="0" collapsed="false">
      <c r="A30" s="17" t="s">
        <v>329</v>
      </c>
      <c r="B30" s="40" t="n">
        <f aca="false">$B$14</f>
        <v>0.05</v>
      </c>
      <c r="C30" s="37" t="n">
        <f aca="false">$B$14*(1+$B$15)</f>
        <v>0.055</v>
      </c>
      <c r="D30" s="39" t="n">
        <f aca="false">$B$18</f>
        <v>3192.10896752449</v>
      </c>
      <c r="E30" s="21" t="n">
        <f aca="false">((((1-$B$9-$B$7-$B$10)^1*$B$5)-((1-$B$9-$B$7-$B$10)^1*$B$7*$B$6)-($B$13+(1-$B$9-$B$7-$B$10)^1*$B$5*$B$14*(1+$B$15)))/(1+$B$12)^1)+((((1-$B$9-$B$7-$B$10)^2*$B$5)-((1-$B$9-$B$7-$B$10)^2*$B$7*$B$6)-(0+(1-$B$9-$B$7-$B$10)^2*$B$5*$B$14*(1+$B$15)))/(1+$B$12)^2)+((((1-$B$9-$B$7-$B$10)^3*$B$5)-((1-$B$9-$B$7-$B$10)^3*$B$7*$B$6)-(0+(1-$B$9-$B$7-$B$10)^3*$B$5*$B$14*(1+$B$15)))/(1+$B$12)^3)+((((1-$B$9-$B$7-$B$10)^4*$B$5)-((1-$B$9-$B$7-$B$10)^4*$B$7*$B$6)-(0+(1-$B$9-$B$7-$B$10)^4*$B$5*$B$14*(1+$B$15)))/(1+$B$12)^4)+((((1-$B$9-$B$7-$B$10)^5*$B$5)-((1-$B$9-$B$7-$B$10)^5*$B$7*$B$6)-(0+(1-$B$9-$B$7-$B$10)^5*$B$5*$B$14*(1+$B$15)))/(1+$B$12)^5)+((((1-$B$9-$B$7-$B$10)^6*$B$5)-((1-$B$9-$B$7-$B$10)^6*$B$7*$B$6)-(0+(1-$B$9-$B$7-$B$10)^6*$B$5*$B$14*(1+$B$15)))/(1+$B$12)^6)+((((1-$B$9-$B$7-$B$10)^7*$B$5)-((1-$B$9-$B$7-$B$10)^7*$B$7*$B$6)-(0+(1-$B$9-$B$7-$B$10)^7*$B$5*$B$14*(1+$B$15)))/(1+$B$12)^7)+((((1-$B$9-$B$7-$B$10)^8*$B$5)-((1-$B$9-$B$7-$B$10)^8*$B$7*$B$6)-(0+(1-$B$9-$B$7-$B$10)^8*$B$5*$B$14*(1+$B$15)))/(1+$B$12)^8)+((((1-$B$9-$B$7-$B$10)^9*$B$5)-((1-$B$9-$B$7-$B$10)^9*$B$7*$B$6)-(0+(1-$B$9-$B$7-$B$10)^9*$B$5*$B$14*(1+$B$15)))/(1+$B$12)^9)+((((1-$B$9-$B$7-$B$10)^10*$B$5)-((1-$B$9-$B$7-$B$10)^10*$B$7*$B$6)-(0+(1-$B$9-$B$7-$B$10)^10*$B$5*$B$14*(1+$B$15)))/(1+$B$12)^10)</f>
        <v>3167.36013723698</v>
      </c>
      <c r="F30" s="36" t="n">
        <f aca="false">E30-D30</f>
        <v>-24.7488302875126</v>
      </c>
      <c r="G30" s="55" t="n">
        <f aca="false">IF($B$18&lt;&gt;0,(E30-D30)/$B$18,0)</f>
        <v>-0.00775312827328246</v>
      </c>
      <c r="H30" s="56" t="n">
        <f aca="false">RANK(ABS(F30),ABS(F22:F30),1)</f>
        <v>1</v>
      </c>
    </row>
    <row r="32" customFormat="false" ht="15" hidden="false" customHeight="true" outlineLevel="0" collapsed="false">
      <c r="A32" s="26" t="s">
        <v>330</v>
      </c>
      <c r="B32" s="26"/>
      <c r="C32" s="26"/>
      <c r="D32" s="26"/>
      <c r="E32" s="26"/>
      <c r="F32" s="26"/>
      <c r="G32" s="26"/>
      <c r="H32" s="26"/>
      <c r="I32" s="26"/>
      <c r="J32" s="26"/>
    </row>
    <row r="33" customFormat="false" ht="23.25" hidden="false" customHeight="true" outlineLevel="0" collapsed="false">
      <c r="A33" s="27" t="s">
        <v>331</v>
      </c>
      <c r="B33" s="59" t="str">
        <f aca="false">IFERROR(INDEX(A22:A30,MATCH(MAX(ABS(F22:F30)),ABS(F22:F30),0)),"Check inputs")</f>
        <v>Check inputs</v>
      </c>
      <c r="C33" s="59"/>
      <c r="D33" s="59"/>
      <c r="E33" s="59"/>
    </row>
    <row r="34" customFormat="false" ht="15" hidden="false" customHeight="true" outlineLevel="0" collapsed="false">
      <c r="A34" s="27" t="s">
        <v>332</v>
      </c>
      <c r="B34" s="36" t="n">
        <f aca="false">IFERROR(-MAX(ABS(F22:F30)),0)</f>
        <v>0</v>
      </c>
    </row>
    <row r="36" customFormat="false" ht="27.75" hidden="false" customHeight="true" outlineLevel="0" collapsed="false">
      <c r="A36" s="9" t="s">
        <v>333</v>
      </c>
      <c r="B36" s="9"/>
      <c r="C36" s="9"/>
      <c r="D36" s="9"/>
      <c r="E36" s="9"/>
      <c r="F36" s="9"/>
      <c r="G36" s="9"/>
      <c r="H36" s="9"/>
      <c r="I36" s="9"/>
    </row>
  </sheetData>
  <mergeCells count="8">
    <mergeCell ref="A1:J1"/>
    <mergeCell ref="A3:J3"/>
    <mergeCell ref="A4:I4"/>
    <mergeCell ref="A17:J17"/>
    <mergeCell ref="A20:J20"/>
    <mergeCell ref="A32:J32"/>
    <mergeCell ref="B33:E33"/>
    <mergeCell ref="A36:I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2026-04-13T09:30:42Z</dcterms:created>
  <dc:creator>openpyxl</dc:creator>
  <dc:description/>
  <dc:language>en-US</dc:language>
  <cp:lastModifiedBy/>
  <dcterms:modified xsi:type="dcterms:W3CDTF">2026-04-13T09:31:20Z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