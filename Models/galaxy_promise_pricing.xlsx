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Projection" sheetId="2" state="visible" r:id="rId4"/>
    <sheet name="Premium Calculation" sheetId="3" state="visible" r:id="rId5"/>
    <sheet name="Model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<sst xmlns="http://schemas.openxmlformats.org/spreadsheetml/2006/main" count="155" uniqueCount="97">
  <si>
    <t xml:space="preserve">GALAXY PROMISE SIGNATURE — LEVEL PREMIUM PRICING MODEL</t>
  </si>
  <si>
    <t xml:space="preserve">Policyholder: Male, Age 40 | Sum Insured: ₹25,00,000 | Illustrative / Dummy Values</t>
  </si>
  <si>
    <t xml:space="preserve">A.  POLICY &amp; POLICYHOLDER PARAMETERS</t>
  </si>
  <si>
    <t xml:space="preserve">Entry age (years)</t>
  </si>
  <si>
    <t xml:space="preserve">Dummy — edit freely</t>
  </si>
  <si>
    <t xml:space="preserve">Maximum lock-in age (years)</t>
  </si>
  <si>
    <t xml:space="preserve">Sum Insured (₹)</t>
  </si>
  <si>
    <t xml:space="preserve">Policy currency discount rate (p.a.)</t>
  </si>
  <si>
    <t xml:space="preserve">Medical inflation rate (p.a.)</t>
  </si>
  <si>
    <t xml:space="preserve">Expense loading (% of pure premium)</t>
  </si>
  <si>
    <t xml:space="preserve">Profit margin (% of gross premium)</t>
  </si>
  <si>
    <t xml:space="preserve">B.  BASE CLAIM COST PARAMETERS (Age 40)</t>
  </si>
  <si>
    <t xml:space="preserve">Base annual claim frequency (per policy)</t>
  </si>
  <si>
    <t xml:space="preserve">Base average claim severity (₹)</t>
  </si>
  <si>
    <t xml:space="preserve">Base pure premium = freq × severity (₹)</t>
  </si>
  <si>
    <t xml:space="preserve">Calculated</t>
  </si>
  <si>
    <t xml:space="preserve">C.  AGE-MORBIDITY RELATIVITIES  (index: age 40 = 1.00)</t>
  </si>
  <si>
    <t xml:space="preserve">These factors scale the base pure premium upward as the policyholder ages. Source: Illustrative.</t>
  </si>
  <si>
    <t xml:space="preserve">Age</t>
  </si>
  <si>
    <t xml:space="preserve">Morbidity Factor</t>
  </si>
  <si>
    <t xml:space="preserve">Note</t>
  </si>
  <si>
    <t xml:space="preserve">Dummy — actuarial table</t>
  </si>
  <si>
    <t xml:space="preserve">D.  ANNUAL PROBABILITY OF LOCK-IN TERMINATION (claim or voluntary lapse)</t>
  </si>
  <si>
    <t xml:space="preserve">Lock-in ends on FIRST claim. Near-zero lapse assumed (Premium Promise anti-lapse effect).</t>
  </si>
  <si>
    <t xml:space="preserve">P(termination this year)</t>
  </si>
  <si>
    <t xml:space="preserve">≈ claim freq + tiny lapse</t>
  </si>
  <si>
    <t xml:space="preserve">YEAR-BY-YEAR PROJECTION — EXPECTED CLAIMS DURING LOCK-IN PERIOD</t>
  </si>
  <si>
    <t xml:space="preserve">Col E = Base PP × Morbidity Factor × (1+Med Inflation)^t  |  Col F = survival probability (in lock-in)  |  Col G = expected claims weighted by survival  |  Col H = PV of Col G</t>
  </si>
  <si>
    <t xml:space="preserve">Year</t>
  </si>
  <si>
    <t xml:space="preserve">Morbidity
Factor</t>
  </si>
  <si>
    <t xml:space="preserve">Medical
Inflation
Adj</t>
  </si>
  <si>
    <t xml:space="preserve">Age-Adj Pure
Premium (₹)</t>
  </si>
  <si>
    <t xml:space="preserve">Prob Still
in Lock-in</t>
  </si>
  <si>
    <t xml:space="preserve">Weighted
Expected
Claims (₹)</t>
  </si>
  <si>
    <t xml:space="preserve">Discount
Factor</t>
  </si>
  <si>
    <t xml:space="preserve">PV of Exp.
Claims (₹)</t>
  </si>
  <si>
    <t xml:space="preserve">TOTAL / SUM</t>
  </si>
  <si>
    <t xml:space="preserve">—</t>
  </si>
  <si>
    <t xml:space="preserve">LEVEL PREMIUM DERIVATION — PREMIUM PROMISE PRICING</t>
  </si>
  <si>
    <t xml:space="preserve">Solve for P such that:  P × Annuity Factor = PV(Expected Claims) + PV(Expenses)</t>
  </si>
  <si>
    <t xml:space="preserve">STEP 1 — Present Value of Expected Claims</t>
  </si>
  <si>
    <t xml:space="preserve">PV of Expected Claims (from Projection sheet, Col I sum)</t>
  </si>
  <si>
    <t xml:space="preserve">Sum of discounted weighted claims over lock-in</t>
  </si>
  <si>
    <t xml:space="preserve">STEP 2 — Level Premium Annuity Factor</t>
  </si>
  <si>
    <t xml:space="preserve">PV of ₹1 per year paid at start of each year, weighted by survival probability</t>
  </si>
  <si>
    <t xml:space="preserve">Survival-Weighted
Discount Factor</t>
  </si>
  <si>
    <t xml:space="preserve">Year 1 (Age 40)</t>
  </si>
  <si>
    <t xml:space="preserve">Surv(t-1) × DF(t)</t>
  </si>
  <si>
    <t xml:space="preserve">Year 2 (Age 41)</t>
  </si>
  <si>
    <t xml:space="preserve">Year 3 (Age 42)</t>
  </si>
  <si>
    <t xml:space="preserve">Year 4 (Age 43)</t>
  </si>
  <si>
    <t xml:space="preserve">Year 5 (Age 44)</t>
  </si>
  <si>
    <t xml:space="preserve">Year 6 (Age 45)</t>
  </si>
  <si>
    <t xml:space="preserve">Year 7 (Age 46)</t>
  </si>
  <si>
    <t xml:space="preserve">Year 8 (Age 47)</t>
  </si>
  <si>
    <t xml:space="preserve">Year 9 (Age 48)</t>
  </si>
  <si>
    <t xml:space="preserve">Year 10 (Age 49)</t>
  </si>
  <si>
    <t xml:space="preserve">Year 11 (Age 50)</t>
  </si>
  <si>
    <t xml:space="preserve">Year 12 (Age 51)</t>
  </si>
  <si>
    <t xml:space="preserve">Year 13 (Age 52)</t>
  </si>
  <si>
    <t xml:space="preserve">Year 14 (Age 53)</t>
  </si>
  <si>
    <t xml:space="preserve">Year 15 (Age 54)</t>
  </si>
  <si>
    <t xml:space="preserve">Sum of Annuity Factors  (= PV of ₹1 annuity over lock-in)</t>
  </si>
  <si>
    <t xml:space="preserve">STEP 3 — Level Pure Premium</t>
  </si>
  <si>
    <t xml:space="preserve">Level Pure Premium  P = PV(Claims) ÷ Annuity Factor</t>
  </si>
  <si>
    <t xml:space="preserve">Annual premium ignoring expenses &amp; profit</t>
  </si>
  <si>
    <t xml:space="preserve">STEP 4 — Gross (Office) Premium</t>
  </si>
  <si>
    <t xml:space="preserve">Gross Premium  =  Pure Premium × (1 + Expense%) ÷ (1 − Profit%)</t>
  </si>
  <si>
    <t xml:space="preserve">← Final answer: annual locked premium</t>
  </si>
  <si>
    <t xml:space="preserve">STEP 5 — CROSS-CHECKS &amp; SENSE CHECKS</t>
  </si>
  <si>
    <t xml:space="preserve">Annual renewal premium at age 40 (no lock-in)</t>
  </si>
  <si>
    <t xml:space="preserve">Should be &lt; Level Premium (level loads for future)</t>
  </si>
  <si>
    <t xml:space="preserve">Level premium loading vs annual renewal (₹)</t>
  </si>
  <si>
    <t xml:space="preserve">Front-load margin per year</t>
  </si>
  <si>
    <t xml:space="preserve">Lock-in period expected (years)</t>
  </si>
  <si>
    <t xml:space="preserve">Sum of survival probs ≈ expected years in lock-in</t>
  </si>
  <si>
    <t xml:space="preserve">PV of gross premiums (at level P)</t>
  </si>
  <si>
    <t xml:space="preserve">Should ≈ PV Claims + expenses + profit</t>
  </si>
  <si>
    <t xml:space="preserve">Loss ratio (PV Claims / PV Gross Premiums)</t>
  </si>
  <si>
    <t xml:space="preserve">Typical range 60%–75% for health</t>
  </si>
  <si>
    <t xml:space="preserve">MODEL NOTES &amp; METHODOLOGY</t>
  </si>
  <si>
    <t xml:space="preserve">PURPOSE</t>
  </si>
  <si>
    <t xml:space="preserve">Illustrates level-premium pricing for a health policy with a premium lock-in (Premium Promise). All numerical inputs are dummy values for exam/educational use.</t>
  </si>
  <si>
    <t xml:space="preserve">STRUCTURE</t>
  </si>
  <si>
    <t xml:space="preserve">1. Assumptions sheet — all inputs (blue cells) editable.
2. Projection sheet — year-by-year expected claims discounted to PV.
3. Premium Calculation sheet — annuity factor, pure premium, gross premium.
4. This Notes sheet.</t>
  </si>
  <si>
    <t xml:space="preserve">MORBIDITY</t>
  </si>
  <si>
    <t xml:space="preserve">Age-morbidity relativities scale the base pure premium (claim freq × severity at age 40) to reflect rising health costs as the insured ages. In practice, these come from a credible claims experience study or reinsurer tables.</t>
  </si>
  <si>
    <t xml:space="preserve">LOCK-IN
DECREMENT</t>
  </si>
  <si>
    <t xml:space="preserve">The lock-in ends on FIRST CLAIM or age 55. The survival column (Col F, Projection) models the probability of still being within the lock-in at each year-end. Near-zero voluntary lapse is assumed due to the Premium Promise anti-lapse incentive.</t>
  </si>
  <si>
    <t xml:space="preserve">ANNUITY
FACTOR</t>
  </si>
  <si>
    <t xml:space="preserve">Standard actuarial present-value annuity but with a survival decrement for lock-in exit. Analogous to a temporary life annuity in life insurance, where death is replaced by first-claim exit.</t>
  </si>
  <si>
    <t xml:space="preserve">MEDICAL
INFLATION</t>
  </si>
  <si>
    <t xml:space="preserve">Applied as a compounding factor on the base pure premium each year, independently of the morbidity age loading. Both forces — aging and medical inflation — drive up the cost the level premium must prefund.</t>
  </si>
  <si>
    <t xml:space="preserve">GROSS PREMIUM
FORMULA</t>
  </si>
  <si>
    <t xml:space="preserve">Gross P = Pure P × (1 + Expense%) / (1 − Profit%). This ensures expense loading is applied first, then profit is taken as a % of the final gross premium.</t>
  </si>
  <si>
    <t xml:space="preserve">EXAM ANGLE</t>
  </si>
  <si>
    <t xml:space="preserve">SA1 / SP2 candidates: note that this model mirrors a with-profits endowment or annuity pricing structure. The key insight is that the level premium must be set above the current annual renewal rate to prefund the higher costs in later lock-in years. Reserves must be held for the excess of future obligations over future premiums — a prospective reserve analogous to a life policy reserve.</t>
  </si>
</sst>
</file>

<file path=xl/styles.xml><?xml version="1.0" encoding="utf-8"?>
<styleSheet xmlns="http://schemas.openxmlformats.org/spreadsheetml/2006/main">
  <numFmts count="8">
    <numFmt numFmtId="164" formatCode="General"/>
    <numFmt numFmtId="165" formatCode="0"/>
    <numFmt numFmtId="166" formatCode="\₹#,##0;&quot;(₹&quot;#,##0\);\-"/>
    <numFmt numFmtId="167" formatCode="0.00%"/>
    <numFmt numFmtId="168" formatCode="0.00"/>
    <numFmt numFmtId="169" formatCode="0.000"/>
    <numFmt numFmtId="170" formatCode="0.0000"/>
    <numFmt numFmtId="171" formatCode="#,##0.00;\(#,##0.00\);\-"/>
  </numFmts>
  <fonts count="1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FFFFFF"/>
      <name val="Arial"/>
      <family val="0"/>
      <charset val="1"/>
    </font>
    <font>
      <b val="true"/>
      <sz val="10"/>
      <color rgb="FF1F4E79"/>
      <name val="Arial"/>
      <family val="0"/>
      <charset val="1"/>
    </font>
    <font>
      <sz val="10"/>
      <name val="Arial"/>
      <family val="0"/>
      <charset val="1"/>
    </font>
    <font>
      <sz val="10"/>
      <color rgb="FF0000FF"/>
      <name val="Arial"/>
      <family val="0"/>
      <charset val="1"/>
    </font>
    <font>
      <i val="true"/>
      <sz val="9"/>
      <color rgb="FF595959"/>
      <name val="Arial"/>
      <family val="0"/>
      <charset val="1"/>
    </font>
    <font>
      <sz val="10"/>
      <color rgb="FF000000"/>
      <name val="Arial"/>
      <family val="0"/>
      <charset val="1"/>
    </font>
    <font>
      <b val="true"/>
      <sz val="10"/>
      <color rgb="FFFFFFFF"/>
      <name val="Arial"/>
      <family val="0"/>
      <charset val="1"/>
    </font>
    <font>
      <b val="true"/>
      <sz val="12"/>
      <color rgb="FFFFFFFF"/>
      <name val="Arial"/>
      <family val="0"/>
      <charset val="1"/>
    </font>
    <font>
      <i val="true"/>
      <sz val="9"/>
      <name val="Arial"/>
      <family val="0"/>
      <charset val="1"/>
    </font>
    <font>
      <b val="true"/>
      <sz val="10"/>
      <name val="Arial"/>
      <family val="0"/>
      <charset val="1"/>
    </font>
    <font>
      <sz val="10"/>
      <color rgb="FF008000"/>
      <name val="Arial"/>
      <family val="0"/>
      <charset val="1"/>
    </font>
    <font>
      <b val="true"/>
      <sz val="11"/>
      <color rgb="FFFFFFFF"/>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6E4F0"/>
        <bgColor rgb="FFCCFFFF"/>
      </patternFill>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5" fontId="8" fillId="0" borderId="2"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6" fontId="8" fillId="0" borderId="2" xfId="0" applyFont="true" applyBorder="true" applyAlignment="true" applyProtection="false">
      <alignment horizontal="right" vertical="center" textRotation="0" wrapText="false" indent="0" shrinkToFit="false"/>
      <protection locked="true" hidden="false"/>
    </xf>
    <xf numFmtId="167" fontId="8" fillId="0" borderId="2" xfId="0" applyFont="true" applyBorder="true" applyAlignment="true" applyProtection="false">
      <alignment horizontal="right" vertical="center" textRotation="0" wrapText="false" indent="0" shrinkToFit="false"/>
      <protection locked="true" hidden="false"/>
    </xf>
    <xf numFmtId="166" fontId="10" fillId="0" borderId="2" xfId="0" applyFont="true" applyBorder="true" applyAlignment="true" applyProtection="false">
      <alignment horizontal="right" vertical="center" textRotation="0" wrapText="fals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8" fontId="8" fillId="0" borderId="2" xfId="0" applyFont="true" applyBorder="true" applyAlignment="true" applyProtection="false">
      <alignment horizontal="right"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8" fontId="10" fillId="0" borderId="2" xfId="0" applyFont="true" applyBorder="true" applyAlignment="true" applyProtection="false">
      <alignment horizontal="right" vertical="center" textRotation="0" wrapText="false" indent="0" shrinkToFit="false"/>
      <protection locked="true" hidden="false"/>
    </xf>
    <xf numFmtId="169" fontId="10" fillId="0" borderId="2" xfId="0" applyFont="true" applyBorder="true" applyAlignment="true" applyProtection="false">
      <alignment horizontal="right" vertical="center" textRotation="0" wrapText="false" indent="0" shrinkToFit="false"/>
      <protection locked="true" hidden="false"/>
    </xf>
    <xf numFmtId="170" fontId="10" fillId="0" borderId="2" xfId="0" applyFont="true" applyBorder="true" applyAlignment="true" applyProtection="false">
      <alignment horizontal="righ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6" fontId="14" fillId="4" borderId="2" xfId="0" applyFont="true" applyBorder="true" applyAlignment="true" applyProtection="false">
      <alignment horizontal="right" vertical="center" textRotation="0" wrapText="fals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6" fontId="15" fillId="0" borderId="2" xfId="0" applyFont="true" applyBorder="true" applyAlignment="true" applyProtection="false">
      <alignment horizontal="right" vertical="center" textRotation="0" wrapText="false" indent="0"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70" fontId="14" fillId="4" borderId="2" xfId="0" applyFont="true" applyBorder="true" applyAlignment="true" applyProtection="false">
      <alignment horizontal="right" vertical="center" textRotation="0" wrapText="false" indent="0" shrinkToFit="false"/>
      <protection locked="true" hidden="false"/>
    </xf>
    <xf numFmtId="167" fontId="15" fillId="0" borderId="2" xfId="0" applyFont="true" applyBorder="true" applyAlignment="true" applyProtection="false">
      <alignment horizontal="right" vertical="center" textRotation="0" wrapText="false" indent="0" shrinkToFit="false"/>
      <protection locked="true" hidden="false"/>
    </xf>
    <xf numFmtId="166" fontId="16" fillId="2" borderId="2" xfId="0" applyFont="true" applyBorder="true" applyAlignment="true" applyProtection="false">
      <alignment horizontal="right" vertical="center" textRotation="0" wrapText="false" indent="0" shrinkToFit="false"/>
      <protection locked="true" hidden="false"/>
    </xf>
    <xf numFmtId="171" fontId="10" fillId="0" borderId="2" xfId="0" applyFont="true" applyBorder="true" applyAlignment="true" applyProtection="false">
      <alignment horizontal="right" vertical="center" textRotation="0" wrapText="false" indent="0" shrinkToFit="false"/>
      <protection locked="true" hidden="false"/>
    </xf>
    <xf numFmtId="167" fontId="10" fillId="0" borderId="2" xfId="0" applyFont="true" applyBorder="true" applyAlignment="true" applyProtection="false">
      <alignment horizontal="right" vertical="center" textRotation="0" wrapText="false" indent="0" shrinkToFit="false"/>
      <protection locked="true" hidden="false"/>
    </xf>
    <xf numFmtId="164" fontId="14" fillId="4"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28"/>
  </cols>
  <sheetData>
    <row r="1" customFormat="false" ht="27.75" hidden="false" customHeight="true" outlineLevel="0" collapsed="false">
      <c r="A1" s="1" t="s">
        <v>0</v>
      </c>
      <c r="B1" s="1"/>
      <c r="C1" s="1"/>
    </row>
    <row r="2" customFormat="false" ht="15" hidden="false" customHeight="true" outlineLevel="0" collapsed="false">
      <c r="A2" s="2" t="s">
        <v>1</v>
      </c>
      <c r="B2" s="2"/>
      <c r="C2" s="2"/>
    </row>
    <row r="3" customFormat="false" ht="18" hidden="false" customHeight="true" outlineLevel="0" collapsed="false">
      <c r="A3" s="3" t="s">
        <v>2</v>
      </c>
      <c r="B3" s="3"/>
      <c r="C3" s="3"/>
    </row>
    <row r="4" customFormat="false" ht="15" hidden="false" customHeight="false" outlineLevel="0" collapsed="false">
      <c r="A4" s="4" t="s">
        <v>3</v>
      </c>
      <c r="B4" s="5" t="n">
        <v>40</v>
      </c>
      <c r="C4" s="6" t="s">
        <v>4</v>
      </c>
    </row>
    <row r="5" customFormat="false" ht="15" hidden="false" customHeight="false" outlineLevel="0" collapsed="false">
      <c r="A5" s="4" t="s">
        <v>5</v>
      </c>
      <c r="B5" s="5" t="n">
        <v>55</v>
      </c>
      <c r="C5" s="6" t="s">
        <v>4</v>
      </c>
    </row>
    <row r="6" customFormat="false" ht="15" hidden="false" customHeight="false" outlineLevel="0" collapsed="false">
      <c r="A6" s="4" t="s">
        <v>6</v>
      </c>
      <c r="B6" s="7" t="n">
        <v>2500000</v>
      </c>
      <c r="C6" s="6" t="s">
        <v>4</v>
      </c>
    </row>
    <row r="7" customFormat="false" ht="15" hidden="false" customHeight="false" outlineLevel="0" collapsed="false">
      <c r="A7" s="4" t="s">
        <v>7</v>
      </c>
      <c r="B7" s="8" t="n">
        <v>0.07</v>
      </c>
      <c r="C7" s="6" t="s">
        <v>4</v>
      </c>
    </row>
    <row r="8" customFormat="false" ht="15" hidden="false" customHeight="false" outlineLevel="0" collapsed="false">
      <c r="A8" s="4" t="s">
        <v>8</v>
      </c>
      <c r="B8" s="8" t="n">
        <v>0.08</v>
      </c>
      <c r="C8" s="6" t="s">
        <v>4</v>
      </c>
    </row>
    <row r="9" customFormat="false" ht="15" hidden="false" customHeight="false" outlineLevel="0" collapsed="false">
      <c r="A9" s="4" t="s">
        <v>9</v>
      </c>
      <c r="B9" s="8" t="n">
        <v>0.2</v>
      </c>
      <c r="C9" s="6" t="s">
        <v>4</v>
      </c>
    </row>
    <row r="10" customFormat="false" ht="15" hidden="false" customHeight="false" outlineLevel="0" collapsed="false">
      <c r="A10" s="4" t="s">
        <v>10</v>
      </c>
      <c r="B10" s="8" t="n">
        <v>0.1</v>
      </c>
      <c r="C10" s="6" t="s">
        <v>4</v>
      </c>
    </row>
    <row r="11" customFormat="false" ht="15" hidden="false" customHeight="true" outlineLevel="0" collapsed="false">
      <c r="A11" s="3" t="s">
        <v>11</v>
      </c>
      <c r="B11" s="3"/>
      <c r="C11" s="3"/>
    </row>
    <row r="12" customFormat="false" ht="15" hidden="false" customHeight="false" outlineLevel="0" collapsed="false">
      <c r="A12" s="4" t="s">
        <v>12</v>
      </c>
      <c r="B12" s="8" t="n">
        <v>0.12</v>
      </c>
      <c r="C12" s="6" t="s">
        <v>4</v>
      </c>
    </row>
    <row r="13" customFormat="false" ht="15" hidden="false" customHeight="false" outlineLevel="0" collapsed="false">
      <c r="A13" s="4" t="s">
        <v>13</v>
      </c>
      <c r="B13" s="7" t="n">
        <v>85000</v>
      </c>
      <c r="C13" s="6" t="s">
        <v>4</v>
      </c>
    </row>
    <row r="14" customFormat="false" ht="15" hidden="false" customHeight="false" outlineLevel="0" collapsed="false">
      <c r="A14" s="4" t="s">
        <v>14</v>
      </c>
      <c r="B14" s="9" t="n">
        <f aca="false">B12*B13</f>
        <v>10200</v>
      </c>
      <c r="C14" s="6" t="s">
        <v>15</v>
      </c>
    </row>
    <row r="16" customFormat="false" ht="15" hidden="false" customHeight="true" outlineLevel="0" collapsed="false">
      <c r="A16" s="3" t="s">
        <v>16</v>
      </c>
      <c r="B16" s="3"/>
      <c r="C16" s="3"/>
    </row>
    <row r="17" customFormat="false" ht="32.8" hidden="false" customHeight="false" outlineLevel="0" collapsed="false">
      <c r="A17" s="6" t="s">
        <v>17</v>
      </c>
    </row>
    <row r="18" customFormat="false" ht="15" hidden="false" customHeight="false" outlineLevel="0" collapsed="false">
      <c r="A18" s="10" t="s">
        <v>18</v>
      </c>
      <c r="B18" s="10" t="s">
        <v>19</v>
      </c>
      <c r="C18" s="10" t="s">
        <v>20</v>
      </c>
    </row>
    <row r="19" customFormat="false" ht="15" hidden="false" customHeight="false" outlineLevel="0" collapsed="false">
      <c r="A19" s="5" t="n">
        <v>40</v>
      </c>
      <c r="B19" s="11" t="n">
        <v>1</v>
      </c>
      <c r="C19" s="6" t="s">
        <v>21</v>
      </c>
    </row>
    <row r="20" customFormat="false" ht="15" hidden="false" customHeight="false" outlineLevel="0" collapsed="false">
      <c r="A20" s="5" t="n">
        <v>41</v>
      </c>
      <c r="B20" s="11" t="n">
        <v>1.05</v>
      </c>
      <c r="C20" s="6" t="s">
        <v>21</v>
      </c>
    </row>
    <row r="21" customFormat="false" ht="15" hidden="false" customHeight="false" outlineLevel="0" collapsed="false">
      <c r="A21" s="5" t="n">
        <v>42</v>
      </c>
      <c r="B21" s="11" t="n">
        <v>1.1</v>
      </c>
      <c r="C21" s="6" t="s">
        <v>21</v>
      </c>
    </row>
    <row r="22" customFormat="false" ht="15" hidden="false" customHeight="false" outlineLevel="0" collapsed="false">
      <c r="A22" s="5" t="n">
        <v>43</v>
      </c>
      <c r="B22" s="11" t="n">
        <v>1.16</v>
      </c>
      <c r="C22" s="6" t="s">
        <v>21</v>
      </c>
    </row>
    <row r="23" customFormat="false" ht="15" hidden="false" customHeight="false" outlineLevel="0" collapsed="false">
      <c r="A23" s="5" t="n">
        <v>44</v>
      </c>
      <c r="B23" s="11" t="n">
        <v>1.22</v>
      </c>
      <c r="C23" s="6" t="s">
        <v>21</v>
      </c>
    </row>
    <row r="24" customFormat="false" ht="15" hidden="false" customHeight="false" outlineLevel="0" collapsed="false">
      <c r="A24" s="5" t="n">
        <v>45</v>
      </c>
      <c r="B24" s="11" t="n">
        <v>1.29</v>
      </c>
      <c r="C24" s="6" t="s">
        <v>21</v>
      </c>
    </row>
    <row r="25" customFormat="false" ht="15" hidden="false" customHeight="false" outlineLevel="0" collapsed="false">
      <c r="A25" s="5" t="n">
        <v>46</v>
      </c>
      <c r="B25" s="11" t="n">
        <v>1.37</v>
      </c>
      <c r="C25" s="6" t="s">
        <v>21</v>
      </c>
    </row>
    <row r="26" customFormat="false" ht="15" hidden="false" customHeight="false" outlineLevel="0" collapsed="false">
      <c r="A26" s="5" t="n">
        <v>47</v>
      </c>
      <c r="B26" s="11" t="n">
        <v>1.45</v>
      </c>
      <c r="C26" s="6" t="s">
        <v>21</v>
      </c>
    </row>
    <row r="27" customFormat="false" ht="15" hidden="false" customHeight="false" outlineLevel="0" collapsed="false">
      <c r="A27" s="5" t="n">
        <v>48</v>
      </c>
      <c r="B27" s="11" t="n">
        <v>1.54</v>
      </c>
      <c r="C27" s="6" t="s">
        <v>21</v>
      </c>
    </row>
    <row r="28" customFormat="false" ht="15" hidden="false" customHeight="false" outlineLevel="0" collapsed="false">
      <c r="A28" s="5" t="n">
        <v>49</v>
      </c>
      <c r="B28" s="11" t="n">
        <v>1.63</v>
      </c>
      <c r="C28" s="6" t="s">
        <v>21</v>
      </c>
    </row>
    <row r="29" customFormat="false" ht="15" hidden="false" customHeight="false" outlineLevel="0" collapsed="false">
      <c r="A29" s="5" t="n">
        <v>50</v>
      </c>
      <c r="B29" s="11" t="n">
        <v>1.73</v>
      </c>
      <c r="C29" s="6" t="s">
        <v>21</v>
      </c>
    </row>
    <row r="30" customFormat="false" ht="15" hidden="false" customHeight="false" outlineLevel="0" collapsed="false">
      <c r="A30" s="5" t="n">
        <v>51</v>
      </c>
      <c r="B30" s="11" t="n">
        <v>1.84</v>
      </c>
      <c r="C30" s="6" t="s">
        <v>21</v>
      </c>
    </row>
    <row r="31" customFormat="false" ht="15" hidden="false" customHeight="false" outlineLevel="0" collapsed="false">
      <c r="A31" s="5" t="n">
        <v>52</v>
      </c>
      <c r="B31" s="11" t="n">
        <v>1.96</v>
      </c>
      <c r="C31" s="6" t="s">
        <v>21</v>
      </c>
    </row>
    <row r="32" customFormat="false" ht="15" hidden="false" customHeight="false" outlineLevel="0" collapsed="false">
      <c r="A32" s="5" t="n">
        <v>53</v>
      </c>
      <c r="B32" s="11" t="n">
        <v>2.08</v>
      </c>
      <c r="C32" s="6" t="s">
        <v>21</v>
      </c>
    </row>
    <row r="33" customFormat="false" ht="15" hidden="false" customHeight="false" outlineLevel="0" collapsed="false">
      <c r="A33" s="5" t="n">
        <v>54</v>
      </c>
      <c r="B33" s="11" t="n">
        <v>2.21</v>
      </c>
      <c r="C33" s="6" t="s">
        <v>21</v>
      </c>
    </row>
    <row r="35" customFormat="false" ht="15" hidden="false" customHeight="true" outlineLevel="0" collapsed="false">
      <c r="A35" s="3" t="s">
        <v>22</v>
      </c>
      <c r="B35" s="3"/>
      <c r="C35" s="3"/>
    </row>
    <row r="36" customFormat="false" ht="22.35" hidden="false" customHeight="false" outlineLevel="0" collapsed="false">
      <c r="A36" s="6" t="s">
        <v>23</v>
      </c>
    </row>
    <row r="37" customFormat="false" ht="23.85" hidden="false" customHeight="false" outlineLevel="0" collapsed="false">
      <c r="A37" s="10" t="s">
        <v>18</v>
      </c>
      <c r="B37" s="10" t="s">
        <v>24</v>
      </c>
      <c r="C37" s="10" t="s">
        <v>20</v>
      </c>
    </row>
    <row r="38" customFormat="false" ht="15" hidden="false" customHeight="false" outlineLevel="0" collapsed="false">
      <c r="A38" s="5" t="n">
        <v>40</v>
      </c>
      <c r="B38" s="8" t="n">
        <v>0.12</v>
      </c>
      <c r="C38" s="6" t="s">
        <v>25</v>
      </c>
    </row>
    <row r="39" customFormat="false" ht="15" hidden="false" customHeight="false" outlineLevel="0" collapsed="false">
      <c r="A39" s="5" t="n">
        <v>41</v>
      </c>
      <c r="B39" s="8" t="n">
        <v>0.126</v>
      </c>
      <c r="C39" s="6" t="s">
        <v>25</v>
      </c>
    </row>
    <row r="40" customFormat="false" ht="15" hidden="false" customHeight="false" outlineLevel="0" collapsed="false">
      <c r="A40" s="5" t="n">
        <v>42</v>
      </c>
      <c r="B40" s="8" t="n">
        <v>0.132</v>
      </c>
      <c r="C40" s="6" t="s">
        <v>25</v>
      </c>
    </row>
    <row r="41" customFormat="false" ht="15" hidden="false" customHeight="false" outlineLevel="0" collapsed="false">
      <c r="A41" s="5" t="n">
        <v>43</v>
      </c>
      <c r="B41" s="8" t="n">
        <v>0.139</v>
      </c>
      <c r="C41" s="6" t="s">
        <v>25</v>
      </c>
    </row>
    <row r="42" customFormat="false" ht="15" hidden="false" customHeight="false" outlineLevel="0" collapsed="false">
      <c r="A42" s="5" t="n">
        <v>44</v>
      </c>
      <c r="B42" s="8" t="n">
        <v>0.146</v>
      </c>
      <c r="C42" s="6" t="s">
        <v>25</v>
      </c>
    </row>
    <row r="43" customFormat="false" ht="15" hidden="false" customHeight="false" outlineLevel="0" collapsed="false">
      <c r="A43" s="5" t="n">
        <v>45</v>
      </c>
      <c r="B43" s="8" t="n">
        <v>0.155</v>
      </c>
      <c r="C43" s="6" t="s">
        <v>25</v>
      </c>
    </row>
    <row r="44" customFormat="false" ht="15" hidden="false" customHeight="false" outlineLevel="0" collapsed="false">
      <c r="A44" s="5" t="n">
        <v>46</v>
      </c>
      <c r="B44" s="8" t="n">
        <v>0.164</v>
      </c>
      <c r="C44" s="6" t="s">
        <v>25</v>
      </c>
    </row>
    <row r="45" customFormat="false" ht="15" hidden="false" customHeight="false" outlineLevel="0" collapsed="false">
      <c r="A45" s="5" t="n">
        <v>47</v>
      </c>
      <c r="B45" s="8" t="n">
        <v>0.174</v>
      </c>
      <c r="C45" s="6" t="s">
        <v>25</v>
      </c>
    </row>
    <row r="46" customFormat="false" ht="15" hidden="false" customHeight="false" outlineLevel="0" collapsed="false">
      <c r="A46" s="5" t="n">
        <v>48</v>
      </c>
      <c r="B46" s="8" t="n">
        <v>0.185</v>
      </c>
      <c r="C46" s="6" t="s">
        <v>25</v>
      </c>
    </row>
    <row r="47" customFormat="false" ht="15" hidden="false" customHeight="false" outlineLevel="0" collapsed="false">
      <c r="A47" s="5" t="n">
        <v>49</v>
      </c>
      <c r="B47" s="8" t="n">
        <v>0.196</v>
      </c>
      <c r="C47" s="6" t="s">
        <v>25</v>
      </c>
    </row>
    <row r="48" customFormat="false" ht="15" hidden="false" customHeight="false" outlineLevel="0" collapsed="false">
      <c r="A48" s="5" t="n">
        <v>50</v>
      </c>
      <c r="B48" s="8" t="n">
        <v>0.208</v>
      </c>
      <c r="C48" s="6" t="s">
        <v>25</v>
      </c>
    </row>
    <row r="49" customFormat="false" ht="15" hidden="false" customHeight="false" outlineLevel="0" collapsed="false">
      <c r="A49" s="5" t="n">
        <v>51</v>
      </c>
      <c r="B49" s="8" t="n">
        <v>0.221</v>
      </c>
      <c r="C49" s="6" t="s">
        <v>25</v>
      </c>
    </row>
    <row r="50" customFormat="false" ht="15" hidden="false" customHeight="false" outlineLevel="0" collapsed="false">
      <c r="A50" s="5" t="n">
        <v>52</v>
      </c>
      <c r="B50" s="8" t="n">
        <v>0.235</v>
      </c>
      <c r="C50" s="6" t="s">
        <v>25</v>
      </c>
    </row>
    <row r="51" customFormat="false" ht="15" hidden="false" customHeight="false" outlineLevel="0" collapsed="false">
      <c r="A51" s="5" t="n">
        <v>53</v>
      </c>
      <c r="B51" s="8" t="n">
        <v>0.25</v>
      </c>
      <c r="C51" s="6" t="s">
        <v>25</v>
      </c>
    </row>
    <row r="52" customFormat="false" ht="15" hidden="false" customHeight="false" outlineLevel="0" collapsed="false">
      <c r="A52" s="5" t="n">
        <v>54</v>
      </c>
      <c r="B52" s="8" t="n">
        <v>0.266</v>
      </c>
      <c r="C52" s="6" t="s">
        <v>25</v>
      </c>
    </row>
  </sheetData>
  <mergeCells count="6">
    <mergeCell ref="A1:C1"/>
    <mergeCell ref="A2:C2"/>
    <mergeCell ref="A3:C3"/>
    <mergeCell ref="A11:C11"/>
    <mergeCell ref="A16:C16"/>
    <mergeCell ref="A35: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4" min="3" style="0" width="18"/>
    <col collapsed="false" customWidth="true" hidden="false" outlineLevel="0" max="7" min="5" style="0" width="20"/>
    <col collapsed="false" customWidth="true" hidden="false" outlineLevel="0" max="9" min="8" style="0" width="22"/>
  </cols>
  <sheetData>
    <row r="1" customFormat="false" ht="24" hidden="false" customHeight="true" outlineLevel="0" collapsed="false">
      <c r="A1" s="12" t="s">
        <v>26</v>
      </c>
      <c r="B1" s="12"/>
      <c r="C1" s="12"/>
      <c r="D1" s="12"/>
      <c r="E1" s="12"/>
      <c r="F1" s="12"/>
      <c r="G1" s="12"/>
      <c r="H1" s="12"/>
      <c r="I1" s="12"/>
    </row>
    <row r="2" customFormat="false" ht="15" hidden="false" customHeight="true" outlineLevel="0" collapsed="false">
      <c r="A2" s="13" t="s">
        <v>27</v>
      </c>
      <c r="B2" s="13"/>
      <c r="C2" s="13"/>
      <c r="D2" s="13"/>
      <c r="E2" s="13"/>
      <c r="F2" s="13"/>
      <c r="G2" s="13"/>
      <c r="H2" s="13"/>
      <c r="I2" s="13"/>
    </row>
    <row r="3" customFormat="false" ht="36" hidden="false" customHeight="true" outlineLevel="0" collapsed="false">
      <c r="A3" s="10" t="s">
        <v>28</v>
      </c>
      <c r="B3" s="10" t="s">
        <v>18</v>
      </c>
      <c r="C3" s="10" t="s">
        <v>29</v>
      </c>
      <c r="D3" s="10" t="s">
        <v>30</v>
      </c>
      <c r="E3" s="10" t="s">
        <v>31</v>
      </c>
      <c r="F3" s="10" t="s">
        <v>32</v>
      </c>
      <c r="G3" s="10" t="s">
        <v>33</v>
      </c>
      <c r="H3" s="10" t="s">
        <v>34</v>
      </c>
      <c r="I3" s="10" t="s">
        <v>35</v>
      </c>
    </row>
    <row r="4" customFormat="false" ht="15" hidden="false" customHeight="false" outlineLevel="0" collapsed="false">
      <c r="A4" s="14" t="n">
        <v>1</v>
      </c>
      <c r="B4" s="14" t="n">
        <v>40</v>
      </c>
      <c r="C4" s="15" t="n">
        <f aca="false">Assumptions!B19</f>
        <v>1</v>
      </c>
      <c r="D4" s="16" t="n">
        <f aca="false">POWER(1+Assumptions!$B$8,0)</f>
        <v>1</v>
      </c>
      <c r="E4" s="9" t="n">
        <f aca="false">Assumptions!$B$14*C4*D4</f>
        <v>10200</v>
      </c>
      <c r="F4" s="17" t="n">
        <f aca="false">1-Assumptions!B38</f>
        <v>0.88</v>
      </c>
      <c r="G4" s="9" t="n">
        <f aca="false">E4*F4</f>
        <v>8976</v>
      </c>
      <c r="H4" s="17" t="n">
        <f aca="false">1/POWER(1+Assumptions!$B$7,1)</f>
        <v>0.934579439252336</v>
      </c>
      <c r="I4" s="9" t="n">
        <f aca="false">G4*H4</f>
        <v>8388.78504672897</v>
      </c>
    </row>
    <row r="5" customFormat="false" ht="15" hidden="false" customHeight="false" outlineLevel="0" collapsed="false">
      <c r="A5" s="14" t="n">
        <v>2</v>
      </c>
      <c r="B5" s="14" t="n">
        <v>41</v>
      </c>
      <c r="C5" s="15" t="n">
        <f aca="false">Assumptions!B20</f>
        <v>1.05</v>
      </c>
      <c r="D5" s="16" t="n">
        <f aca="false">POWER(1+Assumptions!$B$8,1)</f>
        <v>1.08</v>
      </c>
      <c r="E5" s="9" t="n">
        <f aca="false">Assumptions!$B$14*C5*D5</f>
        <v>11566.8</v>
      </c>
      <c r="F5" s="17" t="n">
        <f aca="false">F4*(1-Assumptions!B39)</f>
        <v>0.76912</v>
      </c>
      <c r="G5" s="9" t="n">
        <f aca="false">E5*F5</f>
        <v>8896.257216</v>
      </c>
      <c r="H5" s="17" t="n">
        <f aca="false">1/POWER(1+Assumptions!$B$7,2)</f>
        <v>0.873438728273212</v>
      </c>
      <c r="I5" s="9" t="n">
        <f aca="false">G5*H5</f>
        <v>7770.33558913442</v>
      </c>
    </row>
    <row r="6" customFormat="false" ht="15" hidden="false" customHeight="false" outlineLevel="0" collapsed="false">
      <c r="A6" s="14" t="n">
        <v>3</v>
      </c>
      <c r="B6" s="14" t="n">
        <v>42</v>
      </c>
      <c r="C6" s="15" t="n">
        <f aca="false">Assumptions!B21</f>
        <v>1.1</v>
      </c>
      <c r="D6" s="16" t="n">
        <f aca="false">POWER(1+Assumptions!$B$8,2)</f>
        <v>1.1664</v>
      </c>
      <c r="E6" s="9" t="n">
        <f aca="false">Assumptions!$B$14*C6*D6</f>
        <v>13087.008</v>
      </c>
      <c r="F6" s="17" t="n">
        <f aca="false">F5*(1-Assumptions!B40)</f>
        <v>0.66759616</v>
      </c>
      <c r="G6" s="9" t="n">
        <f aca="false">E6*F6</f>
        <v>8736.83628668928</v>
      </c>
      <c r="H6" s="17" t="n">
        <f aca="false">1/POWER(1+Assumptions!$B$7,3)</f>
        <v>0.816297876890852</v>
      </c>
      <c r="I6" s="9" t="n">
        <f aca="false">G6*H6</f>
        <v>7131.86091156741</v>
      </c>
    </row>
    <row r="7" customFormat="false" ht="15" hidden="false" customHeight="false" outlineLevel="0" collapsed="false">
      <c r="A7" s="14" t="n">
        <v>4</v>
      </c>
      <c r="B7" s="14" t="n">
        <v>43</v>
      </c>
      <c r="C7" s="15" t="n">
        <f aca="false">Assumptions!B22</f>
        <v>1.16</v>
      </c>
      <c r="D7" s="16" t="n">
        <f aca="false">POWER(1+Assumptions!$B$8,3)</f>
        <v>1.259712</v>
      </c>
      <c r="E7" s="9" t="n">
        <f aca="false">Assumptions!$B$14*C7*D7</f>
        <v>14904.912384</v>
      </c>
      <c r="F7" s="17" t="n">
        <f aca="false">F6*(1-Assumptions!B41)</f>
        <v>0.57480029376</v>
      </c>
      <c r="G7" s="9" t="n">
        <f aca="false">E7*F7</f>
        <v>8567.34801679026</v>
      </c>
      <c r="H7" s="17" t="n">
        <f aca="false">1/POWER(1+Assumptions!$B$7,4)</f>
        <v>0.762895212047525</v>
      </c>
      <c r="I7" s="9" t="n">
        <f aca="false">G7*H7</f>
        <v>6535.98878195415</v>
      </c>
    </row>
    <row r="8" customFormat="false" ht="15" hidden="false" customHeight="false" outlineLevel="0" collapsed="false">
      <c r="A8" s="14" t="n">
        <v>5</v>
      </c>
      <c r="B8" s="14" t="n">
        <v>44</v>
      </c>
      <c r="C8" s="15" t="n">
        <f aca="false">Assumptions!B23</f>
        <v>1.22</v>
      </c>
      <c r="D8" s="16" t="n">
        <f aca="false">POWER(1+Assumptions!$B$8,4)</f>
        <v>1.36048896</v>
      </c>
      <c r="E8" s="9" t="n">
        <f aca="false">Assumptions!$B$14*C8*D8</f>
        <v>16929.92461824</v>
      </c>
      <c r="F8" s="17" t="n">
        <f aca="false">F7*(1-Assumptions!B42)</f>
        <v>0.49087945087104</v>
      </c>
      <c r="G8" s="9" t="n">
        <f aca="false">E8*F8</f>
        <v>8310.55209988975</v>
      </c>
      <c r="H8" s="17" t="n">
        <f aca="false">1/POWER(1+Assumptions!$B$7,5)</f>
        <v>0.712986179483668</v>
      </c>
      <c r="I8" s="9" t="n">
        <f aca="false">G8*H8</f>
        <v>5925.30879110037</v>
      </c>
    </row>
    <row r="9" customFormat="false" ht="15" hidden="false" customHeight="false" outlineLevel="0" collapsed="false">
      <c r="A9" s="14" t="n">
        <v>6</v>
      </c>
      <c r="B9" s="14" t="n">
        <v>45</v>
      </c>
      <c r="C9" s="15" t="n">
        <f aca="false">Assumptions!B24</f>
        <v>1.29</v>
      </c>
      <c r="D9" s="16" t="n">
        <f aca="false">POWER(1+Assumptions!$B$8,5)</f>
        <v>1.4693280768</v>
      </c>
      <c r="E9" s="9" t="n">
        <f aca="false">Assumptions!$B$14*C9*D9</f>
        <v>19333.4188345344</v>
      </c>
      <c r="F9" s="17" t="n">
        <f aca="false">F8*(1-Assumptions!B43)</f>
        <v>0.414793135986029</v>
      </c>
      <c r="G9" s="9" t="n">
        <f aca="false">E9*F9</f>
        <v>8019.36942770788</v>
      </c>
      <c r="H9" s="17" t="n">
        <f aca="false">1/POWER(1+Assumptions!$B$7,6)</f>
        <v>0.666342223816512</v>
      </c>
      <c r="I9" s="9" t="n">
        <f aca="false">G9*H9</f>
        <v>5343.64445806502</v>
      </c>
    </row>
    <row r="10" customFormat="false" ht="15" hidden="false" customHeight="false" outlineLevel="0" collapsed="false">
      <c r="A10" s="14" t="n">
        <v>7</v>
      </c>
      <c r="B10" s="14" t="n">
        <v>46</v>
      </c>
      <c r="C10" s="15" t="n">
        <f aca="false">Assumptions!B25</f>
        <v>1.37</v>
      </c>
      <c r="D10" s="16" t="n">
        <f aca="false">POWER(1+Assumptions!$B$8,6)</f>
        <v>1.586874322944</v>
      </c>
      <c r="E10" s="9" t="n">
        <f aca="false">Assumptions!$B$14*C10*D10</f>
        <v>22174.9817888195</v>
      </c>
      <c r="F10" s="17" t="n">
        <f aca="false">F9*(1-Assumptions!B44)</f>
        <v>0.34676706168432</v>
      </c>
      <c r="G10" s="9" t="n">
        <f aca="false">E10*F10</f>
        <v>7689.55327781223</v>
      </c>
      <c r="H10" s="17" t="n">
        <f aca="false">1/POWER(1+Assumptions!$B$7,7)</f>
        <v>0.622749741884591</v>
      </c>
      <c r="I10" s="9" t="n">
        <f aca="false">G10*H10</f>
        <v>4788.66731896538</v>
      </c>
    </row>
    <row r="11" customFormat="false" ht="15" hidden="false" customHeight="false" outlineLevel="0" collapsed="false">
      <c r="A11" s="14" t="n">
        <v>8</v>
      </c>
      <c r="B11" s="14" t="n">
        <v>47</v>
      </c>
      <c r="C11" s="15" t="n">
        <f aca="false">Assumptions!B26</f>
        <v>1.45</v>
      </c>
      <c r="D11" s="16" t="n">
        <f aca="false">POWER(1+Assumptions!$B$8,7)</f>
        <v>1.71382426877952</v>
      </c>
      <c r="E11" s="9" t="n">
        <f aca="false">Assumptions!$B$14*C11*D11</f>
        <v>25347.4609352491</v>
      </c>
      <c r="F11" s="17" t="n">
        <f aca="false">F10*(1-Assumptions!B45)</f>
        <v>0.286429592951248</v>
      </c>
      <c r="G11" s="9" t="n">
        <f aca="false">E11*F11</f>
        <v>7260.26291803107</v>
      </c>
      <c r="H11" s="17" t="n">
        <f aca="false">1/POWER(1+Assumptions!$B$7,8)</f>
        <v>0.582009104565038</v>
      </c>
      <c r="I11" s="9" t="n">
        <f aca="false">G11*H11</f>
        <v>4225.53911983002</v>
      </c>
    </row>
    <row r="12" customFormat="false" ht="15" hidden="false" customHeight="false" outlineLevel="0" collapsed="false">
      <c r="A12" s="14" t="n">
        <v>9</v>
      </c>
      <c r="B12" s="14" t="n">
        <v>48</v>
      </c>
      <c r="C12" s="15" t="n">
        <f aca="false">Assumptions!B27</f>
        <v>1.54</v>
      </c>
      <c r="D12" s="16" t="n">
        <f aca="false">POWER(1+Assumptions!$B$8,8)</f>
        <v>1.85093021028188</v>
      </c>
      <c r="E12" s="9" t="n">
        <f aca="false">Assumptions!$B$14*C12*D12</f>
        <v>29074.4117431078</v>
      </c>
      <c r="F12" s="17" t="n">
        <f aca="false">F11*(1-Assumptions!B46)</f>
        <v>0.233440118255267</v>
      </c>
      <c r="G12" s="9" t="n">
        <f aca="false">E12*F12</f>
        <v>6787.13411551342</v>
      </c>
      <c r="H12" s="17" t="n">
        <f aca="false">1/POWER(1+Assumptions!$B$7,9)</f>
        <v>0.543933742584148</v>
      </c>
      <c r="I12" s="9" t="n">
        <f aca="false">G12*H12</f>
        <v>3691.75126087177</v>
      </c>
    </row>
    <row r="13" customFormat="false" ht="15" hidden="false" customHeight="false" outlineLevel="0" collapsed="false">
      <c r="A13" s="14" t="n">
        <v>10</v>
      </c>
      <c r="B13" s="14" t="n">
        <v>49</v>
      </c>
      <c r="C13" s="15" t="n">
        <f aca="false">Assumptions!B28</f>
        <v>1.63</v>
      </c>
      <c r="D13" s="16" t="n">
        <f aca="false">POWER(1+Assumptions!$B$8,9)</f>
        <v>1.99900462710443</v>
      </c>
      <c r="E13" s="9" t="n">
        <f aca="false">Assumptions!$B$14*C13*D13</f>
        <v>33235.4509302383</v>
      </c>
      <c r="F13" s="17" t="n">
        <f aca="false">F12*(1-Assumptions!B47)</f>
        <v>0.187685855077235</v>
      </c>
      <c r="G13" s="9" t="n">
        <f aca="false">E13*F13</f>
        <v>6237.82402671926</v>
      </c>
      <c r="H13" s="17" t="n">
        <f aca="false">1/POWER(1+Assumptions!$B$7,10)</f>
        <v>0.508349292134718</v>
      </c>
      <c r="I13" s="9" t="n">
        <f aca="false">G13*H13</f>
        <v>3170.99342844367</v>
      </c>
    </row>
    <row r="14" customFormat="false" ht="15" hidden="false" customHeight="false" outlineLevel="0" collapsed="false">
      <c r="A14" s="14" t="n">
        <v>11</v>
      </c>
      <c r="B14" s="14" t="n">
        <v>50</v>
      </c>
      <c r="C14" s="15" t="n">
        <f aca="false">Assumptions!B29</f>
        <v>1.73</v>
      </c>
      <c r="D14" s="16" t="n">
        <f aca="false">POWER(1+Assumptions!$B$8,10)</f>
        <v>2.15892499727279</v>
      </c>
      <c r="E14" s="9" t="n">
        <f aca="false">Assumptions!$B$14*C14*D14</f>
        <v>38096.3905018756</v>
      </c>
      <c r="F14" s="17" t="n">
        <f aca="false">F13*(1-Assumptions!B48)</f>
        <v>0.14864719722117</v>
      </c>
      <c r="G14" s="9" t="n">
        <f aca="false">E14*F14</f>
        <v>5662.92167234702</v>
      </c>
      <c r="H14" s="17" t="n">
        <f aca="false">1/POWER(1+Assumptions!$B$7,11)</f>
        <v>0.475092796387586</v>
      </c>
      <c r="I14" s="9" t="n">
        <f aca="false">G14*H14</f>
        <v>2690.41329303921</v>
      </c>
    </row>
    <row r="15" customFormat="false" ht="15" hidden="false" customHeight="false" outlineLevel="0" collapsed="false">
      <c r="A15" s="14" t="n">
        <v>12</v>
      </c>
      <c r="B15" s="14" t="n">
        <v>51</v>
      </c>
      <c r="C15" s="15" t="n">
        <f aca="false">Assumptions!B30</f>
        <v>1.84</v>
      </c>
      <c r="D15" s="16" t="n">
        <f aca="false">POWER(1+Assumptions!$B$8,11)</f>
        <v>2.33163899705461</v>
      </c>
      <c r="E15" s="9" t="n">
        <f aca="false">Assumptions!$B$14*C15*D15</f>
        <v>43760.2006967209</v>
      </c>
      <c r="F15" s="17" t="n">
        <f aca="false">F14*(1-Assumptions!B49)</f>
        <v>0.115796166635292</v>
      </c>
      <c r="G15" s="9" t="n">
        <f aca="false">E15*F15</f>
        <v>5067.2634918713</v>
      </c>
      <c r="H15" s="17" t="n">
        <f aca="false">1/POWER(1+Assumptions!$B$7,12)</f>
        <v>0.444011959240735</v>
      </c>
      <c r="I15" s="9" t="n">
        <f aca="false">G15*H15</f>
        <v>2249.92559101482</v>
      </c>
    </row>
    <row r="16" customFormat="false" ht="15" hidden="false" customHeight="false" outlineLevel="0" collapsed="false">
      <c r="A16" s="14" t="n">
        <v>13</v>
      </c>
      <c r="B16" s="14" t="n">
        <v>52</v>
      </c>
      <c r="C16" s="15" t="n">
        <f aca="false">Assumptions!B31</f>
        <v>1.96</v>
      </c>
      <c r="D16" s="16" t="n">
        <f aca="false">POWER(1+Assumptions!$B$8,12)</f>
        <v>2.51817011681898</v>
      </c>
      <c r="E16" s="9" t="n">
        <f aca="false">Assumptions!$B$14*C16*D16</f>
        <v>50343.2569754451</v>
      </c>
      <c r="F16" s="17" t="n">
        <f aca="false">F15*(1-Assumptions!B50)</f>
        <v>0.088584067475998</v>
      </c>
      <c r="G16" s="9" t="n">
        <f aca="false">E16*F16</f>
        <v>4459.61047287433</v>
      </c>
      <c r="H16" s="17" t="n">
        <f aca="false">1/POWER(1+Assumptions!$B$7,13)</f>
        <v>0.414964447888537</v>
      </c>
      <c r="I16" s="9" t="n">
        <f aca="false">G16*H16</f>
        <v>1850.57979767424</v>
      </c>
    </row>
    <row r="17" customFormat="false" ht="15" hidden="false" customHeight="false" outlineLevel="0" collapsed="false">
      <c r="A17" s="14" t="n">
        <v>14</v>
      </c>
      <c r="B17" s="14" t="n">
        <v>53</v>
      </c>
      <c r="C17" s="15" t="n">
        <f aca="false">Assumptions!B32</f>
        <v>2.08</v>
      </c>
      <c r="D17" s="16" t="n">
        <f aca="false">POWER(1+Assumptions!$B$8,13)</f>
        <v>2.7196237261645</v>
      </c>
      <c r="E17" s="9" t="n">
        <f aca="false">Assumptions!$B$14*C17*D17</f>
        <v>57699.536974306</v>
      </c>
      <c r="F17" s="17" t="n">
        <f aca="false">F16*(1-Assumptions!B51)</f>
        <v>0.0664380506069985</v>
      </c>
      <c r="G17" s="9" t="n">
        <f aca="false">E17*F17</f>
        <v>3833.44475749932</v>
      </c>
      <c r="H17" s="17" t="n">
        <f aca="false">1/POWER(1+Assumptions!$B$7,14)</f>
        <v>0.387817241017325</v>
      </c>
      <c r="I17" s="9" t="n">
        <f aca="false">G17*H17</f>
        <v>1486.67596944572</v>
      </c>
    </row>
    <row r="18" customFormat="false" ht="15" hidden="false" customHeight="false" outlineLevel="0" collapsed="false">
      <c r="A18" s="14" t="n">
        <v>15</v>
      </c>
      <c r="B18" s="14" t="n">
        <v>54</v>
      </c>
      <c r="C18" s="15" t="n">
        <f aca="false">Assumptions!B33</f>
        <v>2.21</v>
      </c>
      <c r="D18" s="16" t="n">
        <f aca="false">POWER(1+Assumptions!$B$8,14)</f>
        <v>2.93719362425766</v>
      </c>
      <c r="E18" s="9" t="n">
        <f aca="false">Assumptions!$B$14*C18*D18</f>
        <v>66210.2186780162</v>
      </c>
      <c r="F18" s="17" t="n">
        <f aca="false">F17*(1-Assumptions!B52)</f>
        <v>0.0487655291455369</v>
      </c>
      <c r="G18" s="9" t="n">
        <f aca="false">E18*F18</f>
        <v>3228.77634867517</v>
      </c>
      <c r="H18" s="17" t="n">
        <f aca="false">1/POWER(1+Assumptions!$B$7,15)</f>
        <v>0.362446019642359</v>
      </c>
      <c r="I18" s="9" t="n">
        <f aca="false">G18*H18</f>
        <v>1170.25713589271</v>
      </c>
    </row>
    <row r="19" customFormat="false" ht="15" hidden="false" customHeight="true" outlineLevel="0" collapsed="false">
      <c r="A19" s="18" t="s">
        <v>36</v>
      </c>
      <c r="B19" s="18"/>
      <c r="C19" s="18"/>
      <c r="D19" s="18"/>
      <c r="E19" s="19" t="n">
        <f aca="false">SUM(E4:E18)</f>
        <v>451963.973060553</v>
      </c>
      <c r="F19" s="20" t="s">
        <v>37</v>
      </c>
      <c r="G19" s="19" t="n">
        <f aca="false">SUM(G4:G18)</f>
        <v>101733.15412842</v>
      </c>
      <c r="H19" s="20" t="s">
        <v>37</v>
      </c>
      <c r="I19" s="19" t="n">
        <f aca="false">SUM(I4:I18)</f>
        <v>66420.7264937279</v>
      </c>
    </row>
  </sheetData>
  <mergeCells count="3">
    <mergeCell ref="A1:I1"/>
    <mergeCell ref="A2:I2"/>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30"/>
  </cols>
  <sheetData>
    <row r="1" customFormat="false" ht="25.5" hidden="false" customHeight="true" outlineLevel="0" collapsed="false">
      <c r="A1" s="1" t="s">
        <v>38</v>
      </c>
      <c r="B1" s="1"/>
      <c r="C1" s="1"/>
    </row>
    <row r="2" customFormat="false" ht="15" hidden="false" customHeight="true" outlineLevel="0" collapsed="false">
      <c r="A2" s="2" t="s">
        <v>39</v>
      </c>
      <c r="B2" s="2"/>
      <c r="C2" s="2"/>
    </row>
    <row r="3" customFormat="false" ht="15" hidden="false" customHeight="true" outlineLevel="0" collapsed="false">
      <c r="A3" s="3" t="s">
        <v>40</v>
      </c>
      <c r="B3" s="3"/>
      <c r="C3" s="3"/>
    </row>
    <row r="4" customFormat="false" ht="23.85" hidden="false" customHeight="false" outlineLevel="0" collapsed="false">
      <c r="A4" s="4" t="s">
        <v>41</v>
      </c>
      <c r="B4" s="21" t="n">
        <f aca="false">Projection!I19</f>
        <v>66420.7264937279</v>
      </c>
      <c r="C4" s="6" t="s">
        <v>42</v>
      </c>
    </row>
    <row r="6" customFormat="false" ht="15" hidden="false" customHeight="true" outlineLevel="0" collapsed="false">
      <c r="A6" s="3" t="s">
        <v>43</v>
      </c>
      <c r="B6" s="3"/>
      <c r="C6" s="3"/>
    </row>
    <row r="7" customFormat="false" ht="22.35" hidden="false" customHeight="false" outlineLevel="0" collapsed="false">
      <c r="A7" s="6" t="s">
        <v>44</v>
      </c>
    </row>
    <row r="8" customFormat="false" ht="30" hidden="false" customHeight="true" outlineLevel="0" collapsed="false">
      <c r="A8" s="10" t="s">
        <v>28</v>
      </c>
      <c r="B8" s="10" t="s">
        <v>45</v>
      </c>
      <c r="C8" s="10" t="s">
        <v>20</v>
      </c>
    </row>
    <row r="9" customFormat="false" ht="15" hidden="false" customHeight="false" outlineLevel="0" collapsed="false">
      <c r="A9" s="4" t="s">
        <v>46</v>
      </c>
      <c r="B9" s="17" t="n">
        <f aca="false">1*Projection!H4</f>
        <v>0.934579439252336</v>
      </c>
      <c r="C9" s="6" t="s">
        <v>47</v>
      </c>
    </row>
    <row r="10" customFormat="false" ht="15" hidden="false" customHeight="false" outlineLevel="0" collapsed="false">
      <c r="A10" s="4" t="s">
        <v>48</v>
      </c>
      <c r="B10" s="17" t="n">
        <f aca="false">Projection!F4*Projection!H5</f>
        <v>0.768626080880426</v>
      </c>
      <c r="C10" s="6" t="s">
        <v>47</v>
      </c>
    </row>
    <row r="11" customFormat="false" ht="15" hidden="false" customHeight="false" outlineLevel="0" collapsed="false">
      <c r="A11" s="4" t="s">
        <v>49</v>
      </c>
      <c r="B11" s="17" t="n">
        <f aca="false">Projection!F5*Projection!H6</f>
        <v>0.627831023074292</v>
      </c>
      <c r="C11" s="6" t="s">
        <v>47</v>
      </c>
    </row>
    <row r="12" customFormat="false" ht="15" hidden="false" customHeight="false" outlineLevel="0" collapsed="false">
      <c r="A12" s="4" t="s">
        <v>50</v>
      </c>
      <c r="B12" s="17" t="n">
        <f aca="false">Projection!F6*Projection!H7</f>
        <v>0.509305914045313</v>
      </c>
      <c r="C12" s="6" t="s">
        <v>47</v>
      </c>
    </row>
    <row r="13" customFormat="false" ht="15" hidden="false" customHeight="false" outlineLevel="0" collapsed="false">
      <c r="A13" s="4" t="s">
        <v>51</v>
      </c>
      <c r="B13" s="17" t="n">
        <f aca="false">Projection!F7*Projection!H8</f>
        <v>0.409824665414033</v>
      </c>
      <c r="C13" s="6" t="s">
        <v>47</v>
      </c>
    </row>
    <row r="14" customFormat="false" ht="15" hidden="false" customHeight="false" outlineLevel="0" collapsed="false">
      <c r="A14" s="4" t="s">
        <v>52</v>
      </c>
      <c r="B14" s="17" t="n">
        <f aca="false">Projection!F8*Projection!H9</f>
        <v>0.327093704919237</v>
      </c>
      <c r="C14" s="6" t="s">
        <v>47</v>
      </c>
    </row>
    <row r="15" customFormat="false" ht="15" hidden="false" customHeight="false" outlineLevel="0" collapsed="false">
      <c r="A15" s="4" t="s">
        <v>53</v>
      </c>
      <c r="B15" s="17" t="n">
        <f aca="false">Projection!F9*Projection!H10</f>
        <v>0.258312318370799</v>
      </c>
      <c r="C15" s="6" t="s">
        <v>47</v>
      </c>
    </row>
    <row r="16" customFormat="false" ht="15" hidden="false" customHeight="false" outlineLevel="0" collapsed="false">
      <c r="A16" s="4" t="s">
        <v>54</v>
      </c>
      <c r="B16" s="17" t="n">
        <f aca="false">Projection!F10*Projection!H11</f>
        <v>0.20182158706354</v>
      </c>
      <c r="C16" s="6" t="s">
        <v>47</v>
      </c>
    </row>
    <row r="17" customFormat="false" ht="15" hidden="false" customHeight="false" outlineLevel="0" collapsed="false">
      <c r="A17" s="4" t="s">
        <v>55</v>
      </c>
      <c r="B17" s="17" t="n">
        <f aca="false">Projection!F11*Projection!H12</f>
        <v>0.155798720480827</v>
      </c>
      <c r="C17" s="6" t="s">
        <v>47</v>
      </c>
    </row>
    <row r="18" customFormat="false" ht="15" hidden="false" customHeight="false" outlineLevel="0" collapsed="false">
      <c r="A18" s="4" t="s">
        <v>56</v>
      </c>
      <c r="B18" s="17" t="n">
        <f aca="false">Projection!F12*Projection!H13</f>
        <v>0.11866911887091</v>
      </c>
      <c r="C18" s="6" t="s">
        <v>47</v>
      </c>
    </row>
    <row r="19" customFormat="false" ht="15" hidden="false" customHeight="false" outlineLevel="0" collapsed="false">
      <c r="A19" s="4" t="s">
        <v>57</v>
      </c>
      <c r="B19" s="17" t="n">
        <f aca="false">Projection!F13*Projection!H14</f>
        <v>0.0891681977310389</v>
      </c>
      <c r="C19" s="6" t="s">
        <v>47</v>
      </c>
    </row>
    <row r="20" customFormat="false" ht="15" hidden="false" customHeight="false" outlineLevel="0" collapsed="false">
      <c r="A20" s="4" t="s">
        <v>58</v>
      </c>
      <c r="B20" s="17" t="n">
        <f aca="false">Projection!F14*Projection!H15</f>
        <v>0.0660011332738157</v>
      </c>
      <c r="C20" s="6" t="s">
        <v>47</v>
      </c>
    </row>
    <row r="21" customFormat="false" ht="15" hidden="false" customHeight="false" outlineLevel="0" collapsed="false">
      <c r="A21" s="4" t="s">
        <v>59</v>
      </c>
      <c r="B21" s="17" t="n">
        <f aca="false">Projection!F15*Projection!H16</f>
        <v>0.0480512923554228</v>
      </c>
      <c r="C21" s="6" t="s">
        <v>47</v>
      </c>
    </row>
    <row r="22" customFormat="false" ht="15" hidden="false" customHeight="false" outlineLevel="0" collapsed="false">
      <c r="A22" s="4" t="s">
        <v>60</v>
      </c>
      <c r="B22" s="17" t="n">
        <f aca="false">Projection!F16*Projection!H17</f>
        <v>0.0343544286466341</v>
      </c>
      <c r="C22" s="6" t="s">
        <v>47</v>
      </c>
    </row>
    <row r="23" customFormat="false" ht="15" hidden="false" customHeight="false" outlineLevel="0" collapsed="false">
      <c r="A23" s="4" t="s">
        <v>61</v>
      </c>
      <c r="B23" s="17" t="n">
        <f aca="false">Projection!F17*Projection!H18</f>
        <v>0.0240802069953043</v>
      </c>
      <c r="C23" s="6" t="s">
        <v>47</v>
      </c>
    </row>
    <row r="24" customFormat="false" ht="23.85" hidden="false" customHeight="false" outlineLevel="0" collapsed="false">
      <c r="A24" s="22" t="s">
        <v>62</v>
      </c>
      <c r="B24" s="23" t="n">
        <f aca="false">SUM(B9:B23)</f>
        <v>4.57351783137393</v>
      </c>
    </row>
    <row r="26" customFormat="false" ht="15" hidden="false" customHeight="true" outlineLevel="0" collapsed="false">
      <c r="A26" s="3" t="s">
        <v>63</v>
      </c>
      <c r="B26" s="3"/>
      <c r="C26" s="3"/>
    </row>
    <row r="27" customFormat="false" ht="23.85" hidden="false" customHeight="false" outlineLevel="0" collapsed="false">
      <c r="A27" s="22" t="s">
        <v>64</v>
      </c>
      <c r="B27" s="19" t="n">
        <f aca="false">B4/B24</f>
        <v>14522.8965847881</v>
      </c>
      <c r="C27" s="6" t="s">
        <v>65</v>
      </c>
    </row>
    <row r="29" customFormat="false" ht="15" hidden="false" customHeight="true" outlineLevel="0" collapsed="false">
      <c r="A29" s="3" t="s">
        <v>66</v>
      </c>
      <c r="B29" s="3"/>
      <c r="C29" s="3"/>
    </row>
    <row r="30" customFormat="false" ht="15" hidden="false" customHeight="false" outlineLevel="0" collapsed="false">
      <c r="A30" s="4" t="s">
        <v>9</v>
      </c>
      <c r="B30" s="24" t="n">
        <f aca="false">Assumptions!B9</f>
        <v>0.2</v>
      </c>
    </row>
    <row r="31" customFormat="false" ht="15" hidden="false" customHeight="false" outlineLevel="0" collapsed="false">
      <c r="A31" s="4" t="s">
        <v>10</v>
      </c>
      <c r="B31" s="24" t="n">
        <f aca="false">Assumptions!B10</f>
        <v>0.1</v>
      </c>
    </row>
    <row r="32" customFormat="false" ht="23.85" hidden="false" customHeight="false" outlineLevel="0" collapsed="false">
      <c r="A32" s="22" t="s">
        <v>67</v>
      </c>
      <c r="B32" s="25" t="n">
        <f aca="false">B27*(1+B30)/(1-B31)</f>
        <v>19363.8621130508</v>
      </c>
      <c r="C32" s="6" t="s">
        <v>68</v>
      </c>
    </row>
    <row r="34" customFormat="false" ht="15" hidden="false" customHeight="true" outlineLevel="0" collapsed="false">
      <c r="A34" s="3" t="s">
        <v>69</v>
      </c>
      <c r="B34" s="3"/>
      <c r="C34" s="3"/>
    </row>
    <row r="35" customFormat="false" ht="22.35" hidden="false" customHeight="false" outlineLevel="0" collapsed="false">
      <c r="A35" s="4" t="s">
        <v>70</v>
      </c>
      <c r="B35" s="9" t="n">
        <f aca="false">Assumptions!B14*(1+Assumptions!B9)/(1-Assumptions!B10)</f>
        <v>13600</v>
      </c>
      <c r="C35" s="6" t="s">
        <v>71</v>
      </c>
    </row>
    <row r="36" customFormat="false" ht="15" hidden="false" customHeight="false" outlineLevel="0" collapsed="false">
      <c r="A36" s="4" t="s">
        <v>72</v>
      </c>
      <c r="B36" s="9" t="n">
        <f aca="false">B32-B35</f>
        <v>5763.86211305078</v>
      </c>
      <c r="C36" s="6" t="s">
        <v>73</v>
      </c>
    </row>
    <row r="37" customFormat="false" ht="22.35" hidden="false" customHeight="false" outlineLevel="0" collapsed="false">
      <c r="A37" s="4" t="s">
        <v>74</v>
      </c>
      <c r="B37" s="26" t="n">
        <f aca="false">SUMPRODUCT(Projection!F4:F18)/1</f>
        <v>5.31974267967013</v>
      </c>
      <c r="C37" s="6" t="s">
        <v>75</v>
      </c>
    </row>
    <row r="38" customFormat="false" ht="22.35" hidden="false" customHeight="false" outlineLevel="0" collapsed="false">
      <c r="A38" s="4" t="s">
        <v>76</v>
      </c>
      <c r="B38" s="9" t="n">
        <f aca="false">B32*B24</f>
        <v>88560.9686583038</v>
      </c>
      <c r="C38" s="6" t="s">
        <v>77</v>
      </c>
    </row>
    <row r="39" customFormat="false" ht="15" hidden="false" customHeight="false" outlineLevel="0" collapsed="false">
      <c r="A39" s="4" t="s">
        <v>78</v>
      </c>
      <c r="B39" s="27" t="n">
        <f aca="false">B4/(B32*B24)</f>
        <v>0.75</v>
      </c>
      <c r="C39" s="6" t="s">
        <v>79</v>
      </c>
    </row>
  </sheetData>
  <mergeCells count="7">
    <mergeCell ref="A1:C1"/>
    <mergeCell ref="A2:C2"/>
    <mergeCell ref="A3:C3"/>
    <mergeCell ref="A6:C6"/>
    <mergeCell ref="A26:C26"/>
    <mergeCell ref="A29:C29"/>
    <mergeCell ref="A34:C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0"/>
  </cols>
  <sheetData>
    <row r="1" customFormat="false" ht="21.75" hidden="false" customHeight="true" outlineLevel="0" collapsed="false">
      <c r="A1" s="12" t="s">
        <v>80</v>
      </c>
      <c r="B1" s="12"/>
    </row>
    <row r="2" customFormat="false" ht="78.75" hidden="false" customHeight="true" outlineLevel="0" collapsed="false">
      <c r="A2" s="28" t="s">
        <v>81</v>
      </c>
      <c r="B2" s="29" t="s">
        <v>82</v>
      </c>
    </row>
    <row r="3" customFormat="false" ht="111" hidden="false" customHeight="true" outlineLevel="0" collapsed="false">
      <c r="A3" s="28" t="s">
        <v>83</v>
      </c>
      <c r="B3" s="29" t="s">
        <v>84</v>
      </c>
    </row>
    <row r="4" customFormat="false" ht="111.75" hidden="false" customHeight="true" outlineLevel="0" collapsed="false">
      <c r="A4" s="28" t="s">
        <v>85</v>
      </c>
      <c r="B4" s="29" t="s">
        <v>86</v>
      </c>
    </row>
    <row r="5" customFormat="false" ht="120.75" hidden="false" customHeight="true" outlineLevel="0" collapsed="false">
      <c r="A5" s="28" t="s">
        <v>87</v>
      </c>
      <c r="B5" s="29" t="s">
        <v>88</v>
      </c>
    </row>
    <row r="6" customFormat="false" ht="94.5" hidden="false" customHeight="true" outlineLevel="0" collapsed="false">
      <c r="A6" s="28" t="s">
        <v>89</v>
      </c>
      <c r="B6" s="29" t="s">
        <v>90</v>
      </c>
    </row>
    <row r="7" customFormat="false" ht="102" hidden="false" customHeight="true" outlineLevel="0" collapsed="false">
      <c r="A7" s="28" t="s">
        <v>91</v>
      </c>
      <c r="B7" s="29" t="s">
        <v>92</v>
      </c>
    </row>
    <row r="8" customFormat="false" ht="75.75" hidden="false" customHeight="true" outlineLevel="0" collapsed="false">
      <c r="A8" s="28" t="s">
        <v>93</v>
      </c>
      <c r="B8" s="29" t="s">
        <v>94</v>
      </c>
    </row>
    <row r="9" customFormat="false" ht="193.5" hidden="false" customHeight="true" outlineLevel="0" collapsed="false">
      <c r="A9" s="28" t="s">
        <v>95</v>
      </c>
      <c r="B9" s="29" t="s">
        <v>96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2026-04-11T05:32:36Z</dcterms:created>
  <dc:creator>openpyxl</dc:creator>
  <dc:description/>
  <dc:language>en-US</dc:language>
  <cp:lastModifiedBy/>
  <dcterms:modified xsi:type="dcterms:W3CDTF">2026-04-11T05:32:36Z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