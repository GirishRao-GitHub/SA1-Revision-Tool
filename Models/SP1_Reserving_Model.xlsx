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G:\Girish\IAI\SP1 and SA1 Health and Care\Practice papers\Claude Widgets\Models\"/>
    </mc:Choice>
  </mc:AlternateContent>
  <xr:revisionPtr revIDLastSave="0" documentId="13_ncr:1_{6183FE1A-58D4-4ED8-9991-E3B27B7EB2AC}" xr6:coauthVersionLast="47" xr6:coauthVersionMax="47" xr10:uidLastSave="{00000000-0000-0000-0000-000000000000}"/>
  <bookViews>
    <workbookView xWindow="-108" yWindow="-108" windowWidth="23256" windowHeight="13176" tabRatio="500" activeTab="1" xr2:uid="{00000000-000D-0000-FFFF-FFFF00000000}"/>
  </bookViews>
  <sheets>
    <sheet name="📋 Contents" sheetId="1" r:id="rId1"/>
    <sheet name="⚙️ Assumptions" sheetId="2" r:id="rId2"/>
    <sheet name="🏥 PMI" sheetId="3" r:id="rId3"/>
    <sheet name="🛡️ CI" sheetId="4" r:id="rId4"/>
    <sheet name="💼 IP" sheetId="5" r:id="rId5"/>
    <sheet name="🏡 LTCI" sheetId="6" r:id="rId6"/>
    <sheet name="📊 Summary" sheetId="7" r:id="rId7"/>
  </sheets>
  <calcPr calcId="191029" iterateDelta="1E-4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C45" i="6" l="1"/>
  <c r="C46" i="6" s="1"/>
  <c r="H35" i="6"/>
  <c r="G35" i="6"/>
  <c r="F35" i="6"/>
  <c r="E35" i="6"/>
  <c r="E33" i="6" s="1"/>
  <c r="F33" i="6" s="1"/>
  <c r="G33" i="6" s="1"/>
  <c r="H33" i="6" s="1"/>
  <c r="J33" i="6" s="1"/>
  <c r="K33" i="6" s="1"/>
  <c r="D35" i="6"/>
  <c r="C35" i="6"/>
  <c r="I34" i="6"/>
  <c r="D34" i="6"/>
  <c r="E34" i="6" s="1"/>
  <c r="F34" i="6" s="1"/>
  <c r="G34" i="6" s="1"/>
  <c r="H34" i="6" s="1"/>
  <c r="J34" i="6" s="1"/>
  <c r="K34" i="6" s="1"/>
  <c r="I33" i="6"/>
  <c r="I32" i="6"/>
  <c r="G32" i="6"/>
  <c r="H32" i="6" s="1"/>
  <c r="J32" i="6" s="1"/>
  <c r="K32" i="6" s="1"/>
  <c r="F32" i="6"/>
  <c r="I31" i="6"/>
  <c r="G31" i="6"/>
  <c r="H31" i="6" s="1"/>
  <c r="J31" i="6" s="1"/>
  <c r="K31" i="6" s="1"/>
  <c r="I30" i="6"/>
  <c r="H30" i="6"/>
  <c r="J30" i="6" s="1"/>
  <c r="K30" i="6" s="1"/>
  <c r="J29" i="6"/>
  <c r="K29" i="6" s="1"/>
  <c r="I29" i="6"/>
  <c r="J21" i="6"/>
  <c r="J20" i="6"/>
  <c r="J19" i="6"/>
  <c r="J18" i="6"/>
  <c r="J22" i="6" s="1"/>
  <c r="C51" i="6" s="1"/>
  <c r="I12" i="6"/>
  <c r="H12" i="6"/>
  <c r="I11" i="6"/>
  <c r="H11" i="6"/>
  <c r="I10" i="6"/>
  <c r="H10" i="6"/>
  <c r="I9" i="6"/>
  <c r="I13" i="6" s="1"/>
  <c r="H9" i="6"/>
  <c r="C53" i="5"/>
  <c r="C45" i="5"/>
  <c r="C46" i="5" s="1"/>
  <c r="H35" i="5"/>
  <c r="G35" i="5"/>
  <c r="F35" i="5"/>
  <c r="E35" i="5"/>
  <c r="E33" i="5" s="1"/>
  <c r="F33" i="5" s="1"/>
  <c r="G33" i="5" s="1"/>
  <c r="H33" i="5" s="1"/>
  <c r="J33" i="5" s="1"/>
  <c r="K33" i="5" s="1"/>
  <c r="D35" i="5"/>
  <c r="C35" i="5"/>
  <c r="I34" i="5"/>
  <c r="D34" i="5"/>
  <c r="E34" i="5" s="1"/>
  <c r="F34" i="5" s="1"/>
  <c r="G34" i="5" s="1"/>
  <c r="H34" i="5" s="1"/>
  <c r="J34" i="5" s="1"/>
  <c r="K34" i="5" s="1"/>
  <c r="I33" i="5"/>
  <c r="I32" i="5"/>
  <c r="G32" i="5"/>
  <c r="H32" i="5" s="1"/>
  <c r="J32" i="5" s="1"/>
  <c r="K32" i="5" s="1"/>
  <c r="F32" i="5"/>
  <c r="I31" i="5"/>
  <c r="G31" i="5"/>
  <c r="H31" i="5" s="1"/>
  <c r="J31" i="5" s="1"/>
  <c r="K31" i="5" s="1"/>
  <c r="I30" i="5"/>
  <c r="H30" i="5"/>
  <c r="J30" i="5" s="1"/>
  <c r="K30" i="5" s="1"/>
  <c r="J29" i="5"/>
  <c r="K29" i="5" s="1"/>
  <c r="I29" i="5"/>
  <c r="J25" i="5"/>
  <c r="J21" i="5"/>
  <c r="J20" i="5"/>
  <c r="J19" i="5"/>
  <c r="J18" i="5"/>
  <c r="J22" i="5" s="1"/>
  <c r="C51" i="5" s="1"/>
  <c r="I12" i="5"/>
  <c r="J12" i="5" s="1"/>
  <c r="I11" i="5"/>
  <c r="J11" i="5" s="1"/>
  <c r="I10" i="5"/>
  <c r="J10" i="5" s="1"/>
  <c r="I9" i="5"/>
  <c r="J9" i="5" s="1"/>
  <c r="J13" i="5" s="1"/>
  <c r="C47" i="4"/>
  <c r="C49" i="4" s="1"/>
  <c r="C57" i="4" s="1"/>
  <c r="C42" i="4"/>
  <c r="E37" i="4"/>
  <c r="E36" i="4"/>
  <c r="E35" i="4"/>
  <c r="E34" i="4"/>
  <c r="E33" i="4"/>
  <c r="E38" i="4" s="1"/>
  <c r="H27" i="4"/>
  <c r="G27" i="4"/>
  <c r="F27" i="4"/>
  <c r="E27" i="4"/>
  <c r="E25" i="4" s="1"/>
  <c r="F25" i="4" s="1"/>
  <c r="G25" i="4" s="1"/>
  <c r="H25" i="4" s="1"/>
  <c r="J25" i="4" s="1"/>
  <c r="K25" i="4" s="1"/>
  <c r="D27" i="4"/>
  <c r="D26" i="4" s="1"/>
  <c r="E26" i="4" s="1"/>
  <c r="F26" i="4" s="1"/>
  <c r="G26" i="4" s="1"/>
  <c r="H26" i="4" s="1"/>
  <c r="J26" i="4" s="1"/>
  <c r="K26" i="4" s="1"/>
  <c r="C54" i="4" s="1"/>
  <c r="C27" i="4"/>
  <c r="I26" i="4"/>
  <c r="I25" i="4"/>
  <c r="I24" i="4"/>
  <c r="F24" i="4"/>
  <c r="G24" i="4" s="1"/>
  <c r="H24" i="4" s="1"/>
  <c r="J24" i="4" s="1"/>
  <c r="K24" i="4" s="1"/>
  <c r="I23" i="4"/>
  <c r="G23" i="4"/>
  <c r="H23" i="4" s="1"/>
  <c r="J23" i="4" s="1"/>
  <c r="K23" i="4" s="1"/>
  <c r="I22" i="4"/>
  <c r="H22" i="4"/>
  <c r="J22" i="4" s="1"/>
  <c r="K22" i="4" s="1"/>
  <c r="J21" i="4"/>
  <c r="I21" i="4"/>
  <c r="K21" i="4" s="1"/>
  <c r="K12" i="4"/>
  <c r="J12" i="4"/>
  <c r="I12" i="4"/>
  <c r="K11" i="4"/>
  <c r="J11" i="4"/>
  <c r="I11" i="4"/>
  <c r="K10" i="4"/>
  <c r="J10" i="4"/>
  <c r="I10" i="4"/>
  <c r="K9" i="4"/>
  <c r="K13" i="4" s="1"/>
  <c r="J9" i="4"/>
  <c r="J13" i="4" s="1"/>
  <c r="I9" i="4"/>
  <c r="I13" i="4" s="1"/>
  <c r="C76" i="3"/>
  <c r="C69" i="3"/>
  <c r="C79" i="3" s="1"/>
  <c r="C68" i="3"/>
  <c r="C67" i="3"/>
  <c r="C63" i="3"/>
  <c r="C60" i="3"/>
  <c r="E53" i="3"/>
  <c r="E52" i="3"/>
  <c r="E51" i="3"/>
  <c r="E50" i="3"/>
  <c r="E54" i="3" s="1"/>
  <c r="E49" i="3"/>
  <c r="C44" i="3"/>
  <c r="H35" i="3"/>
  <c r="G35" i="3"/>
  <c r="F35" i="3"/>
  <c r="E35" i="3"/>
  <c r="E33" i="3" s="1"/>
  <c r="F33" i="3" s="1"/>
  <c r="G33" i="3" s="1"/>
  <c r="H33" i="3" s="1"/>
  <c r="J33" i="3" s="1"/>
  <c r="K33" i="3" s="1"/>
  <c r="D35" i="3"/>
  <c r="D34" i="3" s="1"/>
  <c r="E34" i="3" s="1"/>
  <c r="F34" i="3" s="1"/>
  <c r="G34" i="3" s="1"/>
  <c r="H34" i="3" s="1"/>
  <c r="J34" i="3" s="1"/>
  <c r="K34" i="3" s="1"/>
  <c r="C75" i="3" s="1"/>
  <c r="C35" i="3"/>
  <c r="I34" i="3"/>
  <c r="I33" i="3"/>
  <c r="I32" i="3"/>
  <c r="F32" i="3"/>
  <c r="G32" i="3" s="1"/>
  <c r="H32" i="3" s="1"/>
  <c r="J32" i="3" s="1"/>
  <c r="K32" i="3" s="1"/>
  <c r="I31" i="3"/>
  <c r="G31" i="3"/>
  <c r="H31" i="3" s="1"/>
  <c r="J31" i="3" s="1"/>
  <c r="K31" i="3" s="1"/>
  <c r="I30" i="3"/>
  <c r="H30" i="3"/>
  <c r="J30" i="3" s="1"/>
  <c r="K30" i="3" s="1"/>
  <c r="J29" i="3"/>
  <c r="I29" i="3"/>
  <c r="K29" i="3" s="1"/>
  <c r="H13" i="3"/>
  <c r="G13" i="3"/>
  <c r="E13" i="3"/>
  <c r="G12" i="3"/>
  <c r="H12" i="3" s="1"/>
  <c r="E12" i="3"/>
  <c r="G11" i="3"/>
  <c r="E11" i="3"/>
  <c r="H11" i="3" s="1"/>
  <c r="G10" i="3"/>
  <c r="E10" i="3"/>
  <c r="H10" i="3" s="1"/>
  <c r="H9" i="3"/>
  <c r="G9" i="3"/>
  <c r="E9" i="3"/>
  <c r="C39" i="5" l="1"/>
  <c r="C41" i="5" s="1"/>
  <c r="C54" i="5" s="1"/>
  <c r="C14" i="5"/>
  <c r="C16" i="5" s="1"/>
  <c r="C52" i="5"/>
  <c r="K36" i="3"/>
  <c r="I14" i="4"/>
  <c r="C53" i="4" s="1"/>
  <c r="K28" i="4"/>
  <c r="C55" i="4"/>
  <c r="C40" i="4"/>
  <c r="C41" i="4" s="1"/>
  <c r="C43" i="4" s="1"/>
  <c r="C56" i="4" s="1"/>
  <c r="K36" i="5"/>
  <c r="C39" i="6"/>
  <c r="C41" i="6" s="1"/>
  <c r="C54" i="6" s="1"/>
  <c r="C52" i="6"/>
  <c r="C56" i="6" s="1"/>
  <c r="C20" i="7" s="1"/>
  <c r="C15" i="6"/>
  <c r="C16" i="6" s="1"/>
  <c r="K36" i="6"/>
  <c r="C53" i="6" s="1"/>
  <c r="H14" i="3"/>
  <c r="C59" i="3"/>
  <c r="C61" i="3" s="1"/>
  <c r="C78" i="3" s="1"/>
  <c r="C56" i="3"/>
  <c r="C57" i="3" s="1"/>
  <c r="C77" i="3"/>
  <c r="C48" i="4"/>
  <c r="C45" i="4"/>
  <c r="C47" i="5"/>
  <c r="C55" i="5" s="1"/>
  <c r="C56" i="5" s="1"/>
  <c r="C19" i="7" s="1"/>
  <c r="C47" i="6"/>
  <c r="C55" i="6" s="1"/>
  <c r="C43" i="5"/>
  <c r="C43" i="6"/>
  <c r="C19" i="3" l="1"/>
  <c r="C21" i="3" s="1"/>
  <c r="C22" i="3" s="1"/>
  <c r="C74" i="3" s="1"/>
  <c r="C73" i="3"/>
  <c r="C58" i="4"/>
  <c r="C18" i="7" s="1"/>
  <c r="C80" i="3" l="1"/>
  <c r="C17" i="7" s="1"/>
  <c r="C21" i="7" s="1"/>
</calcChain>
</file>

<file path=xl/sharedStrings.xml><?xml version="1.0" encoding="utf-8"?>
<sst xmlns="http://schemas.openxmlformats.org/spreadsheetml/2006/main" count="547" uniqueCount="343">
  <si>
    <t>SP1 Healthcare Reserving Model  |  Chapter 21 Reference</t>
  </si>
  <si>
    <t>Sheet</t>
  </si>
  <si>
    <t>Tab Name</t>
  </si>
  <si>
    <t>Description</t>
  </si>
  <si>
    <t>Reserve Types Covered</t>
  </si>
  <si>
    <t>📋 Contents</t>
  </si>
  <si>
    <t>This sheet</t>
  </si>
  <si>
    <t>Navigation and model guide</t>
  </si>
  <si>
    <t>–</t>
  </si>
  <si>
    <t>⚙️ Assumptions</t>
  </si>
  <si>
    <t>Global Assumptions</t>
  </si>
  <si>
    <t>All input assumptions: discount rates, inflation, development factors</t>
  </si>
  <si>
    <t>All products</t>
  </si>
  <si>
    <t>🏥 PMI</t>
  </si>
  <si>
    <t>Private Medical Insurance</t>
  </si>
  <si>
    <t>Short-term product: UPR, URR/AURR, IBNR (Chain Ladder), Claims in Transit, Outstanding Claims, IBNER, Reopened Claims</t>
  </si>
  <si>
    <t>UPR · URR · IBNR · IBNER · In-Transit · Reopened</t>
  </si>
  <si>
    <t>🛡️ CI</t>
  </si>
  <si>
    <t>Critical Illness</t>
  </si>
  <si>
    <t>Long-term product: Policy reserve (EPV), IBNR (Chain Ladder), Outstanding Claims, IBNER, Reopened Claims</t>
  </si>
  <si>
    <t>Policy Res · IBNR · IBNER · Reopened</t>
  </si>
  <si>
    <t>💼 IP</t>
  </si>
  <si>
    <t>Income Protection</t>
  </si>
  <si>
    <t>Long-term product: Policy reserve (continuance table), Active Claims Reserve, IBNR, IBNER, Reopened Claims</t>
  </si>
  <si>
    <t>Policy Res · Active Claims · IBNR · IBNER · Reopened</t>
  </si>
  <si>
    <t>🏡 LTCI</t>
  </si>
  <si>
    <t>Long Term Care Insurance</t>
  </si>
  <si>
    <t>📊 Summary</t>
  </si>
  <si>
    <t>Reserve Summary</t>
  </si>
  <si>
    <t>Consolidated reserve summary across all four products with commentary</t>
  </si>
  <si>
    <t>All reserve types</t>
  </si>
  <si>
    <t>Colour Key</t>
  </si>
  <si>
    <t>■  Sample</t>
  </si>
  <si>
    <t>Blue text on amber = Hardcoded INPUT (user changes these)</t>
  </si>
  <si>
    <t>Black text on white = FORMULA (auto-calculated)</t>
  </si>
  <si>
    <t>Green text = Cross-sheet LINK</t>
  </si>
  <si>
    <t>Blue shading = Section / sub-header</t>
  </si>
  <si>
    <t>Red shading = Watch / sensitivity cell</t>
  </si>
  <si>
    <t>SP1 Ch.21 Concept: Reserves may be calculated for: published accounts | solvency supervision | internal management | premium rating | M&amp;A valuation | investment strategy | reinsurance assessment. The basis (best estimate vs prudent) differs by purpose.</t>
  </si>
  <si>
    <t>⚙️  Global Assumptions  —  All inputs on this sheet drive the product tabs</t>
  </si>
  <si>
    <t>A.  Valuation Date &amp; General</t>
  </si>
  <si>
    <t>Parameter</t>
  </si>
  <si>
    <t>Value</t>
  </si>
  <si>
    <t>Units</t>
  </si>
  <si>
    <t>Notes</t>
  </si>
  <si>
    <t>Valuation Date</t>
  </si>
  <si>
    <t>31/12/2024</t>
  </si>
  <si>
    <t>Date</t>
  </si>
  <si>
    <t>Balance sheet date</t>
  </si>
  <si>
    <t>Discount Rate</t>
  </si>
  <si>
    <t>%</t>
  </si>
  <si>
    <t>Risk-free rate for EPV calculations</t>
  </si>
  <si>
    <t>Expense Inflation</t>
  </si>
  <si>
    <t>Annual expense inflation assumption</t>
  </si>
  <si>
    <t>Medical Inflation (PMI)</t>
  </si>
  <si>
    <t>Medical cost trend – SP1 key assumption</t>
  </si>
  <si>
    <t>Earnings Inflation (IP)</t>
  </si>
  <si>
    <t>Linked to salary for IP benefits</t>
  </si>
  <si>
    <t>Reserving Purpose</t>
  </si>
  <si>
    <t>Published Accounts</t>
  </si>
  <si>
    <t>Affects prudence margin – see Ch.21 S1</t>
  </si>
  <si>
    <t>Prudence Margin</t>
  </si>
  <si>
    <t>Added to best-estimate for solvency basis</t>
  </si>
  <si>
    <t>B.  Chain Ladder Development Factors  (used for IBNR on all products)</t>
  </si>
  <si>
    <t>Development Period</t>
  </si>
  <si>
    <t>PMI Factor</t>
  </si>
  <si>
    <t>CI Factor</t>
  </si>
  <si>
    <t>IP Factor</t>
  </si>
  <si>
    <t>LTCI Factor</t>
  </si>
  <si>
    <t>0→1</t>
  </si>
  <si>
    <t>1→2</t>
  </si>
  <si>
    <t>2→3</t>
  </si>
  <si>
    <t>3→4</t>
  </si>
  <si>
    <t>4→5</t>
  </si>
  <si>
    <t>5→Ult</t>
  </si>
  <si>
    <t>C.  IP / LTCI Continuance Table Assumptions</t>
  </si>
  <si>
    <t>IP</t>
  </si>
  <si>
    <t>LTCI</t>
  </si>
  <si>
    <t>Initial Recovery Rate (pa)</t>
  </si>
  <si>
    <t>Probability active claimant recovers in year</t>
  </si>
  <si>
    <t>Mortality Rate on Claim (pa)</t>
  </si>
  <si>
    <t>Probability claimant dies while claiming</t>
  </si>
  <si>
    <t>Policy Termination Date (yrs)</t>
  </si>
  <si>
    <t>Years</t>
  </si>
  <si>
    <t>Max remaining term used for EPV</t>
  </si>
  <si>
    <t>Average Age on Claim</t>
  </si>
  <si>
    <t>Used to select mortality/recovery rates</t>
  </si>
  <si>
    <t>Deferred Period (weeks)</t>
  </si>
  <si>
    <t>Weeks</t>
  </si>
  <si>
    <t>IP only – weeks before benefit starts</t>
  </si>
  <si>
    <t>D.  IBNER &amp; Reopened Claims Factors</t>
  </si>
  <si>
    <t>PMI</t>
  </si>
  <si>
    <t>CI</t>
  </si>
  <si>
    <t>IBNER Factor (% of O/S Claims Reserve)</t>
  </si>
  <si>
    <t>Reopened Claims Rate (% of paid claims)</t>
  </si>
  <si>
    <t>Average Reopened Claim Cost (£)</t>
  </si>
  <si>
    <t>SP1 Ch.21 S3: Development factors are derived from run-off triangles (chain ladder). IBNER (incurred but not enough reported) = adjustment to outstanding reported claims reserve where the actuary believes case estimates are systematically under/over-stated.</t>
  </si>
  <si>
    <t>🏥  Private Medical Insurance (PMI)  —  Reserving Model</t>
  </si>
  <si>
    <t>SP1 Ch.21 S2.2: PMI is SHORT-TERM insurance. Reserves required: UPR (retrospective – proportion of premium unearned) | URR/AURR (prospective – cost of unexpired risk) | IBNR (chain ladder) | Claims in Transit | Outstanding Claims | IBNER | Reopened Claims.</t>
  </si>
  <si>
    <t>A.  Unearned Premium Reserve (UPR)  —  Retrospective Approach</t>
  </si>
  <si>
    <t>SP1: UPR = proportion of risk-related premium relating to unexpired period. Initial expenses (commission) are excluded as already earned. Assuming uniform risk over the year: UPR = (days unexpired / 365) × risk-related premium.</t>
  </si>
  <si>
    <t>Policy</t>
  </si>
  <si>
    <t>Annual Premium (£)</t>
  </si>
  <si>
    <t>Initial Exp % (commission)</t>
  </si>
  <si>
    <t>Risk-Related Premium (£)</t>
  </si>
  <si>
    <t>Days Expired</t>
  </si>
  <si>
    <t>Days Unexpired</t>
  </si>
  <si>
    <t>UPR (£)</t>
  </si>
  <si>
    <t>Policy A</t>
  </si>
  <si>
    <t>Policy B</t>
  </si>
  <si>
    <t>Policy C</t>
  </si>
  <si>
    <t>Policy D</t>
  </si>
  <si>
    <t>Policy E</t>
  </si>
  <si>
    <t>TOTAL UPR</t>
  </si>
  <si>
    <t>B.  Unexpired Risk Reserve (URR) &amp; Additional Unexpired Risk Reserve (AURR)  —  Prospective Approach</t>
  </si>
  <si>
    <t>SP1: URR = estimate of what is actually needed to cover unexpired risk (prospective). AURR = MAX(0, URR – UPR). If AURR &gt; 0, premiums are insufficient. URR = Expected future loss ratio × risk-related premium unexpired.</t>
  </si>
  <si>
    <t>Source</t>
  </si>
  <si>
    <t>Total UPR (from Section A)</t>
  </si>
  <si>
    <t>Linked from Section A</t>
  </si>
  <si>
    <t>Expected Future Loss Ratio</t>
  </si>
  <si>
    <t>From experience analysis</t>
  </si>
  <si>
    <t>URR  =  ELR × UPR</t>
  </si>
  <si>
    <t>AURR  =  MAX(0, URR – UPR)</t>
  </si>
  <si>
    <t>C.  IBNR Reserve  —  Chain Ladder (Statistical Method)</t>
  </si>
  <si>
    <t>Cumulative paid claims (£000s). Blue cells = actual data. Green cells = projected using development factors from ⚙️ Assumptions tab. Factor col: PMI = column C of section B in Assumptions.</t>
  </si>
  <si>
    <t>Chain Ladder — PMI  |  IBNR Reserve</t>
  </si>
  <si>
    <t>SP1 Ch.21 S3.2: Statistical method – past claims development patterns are used to project incomplete diagonals to ultimate. IBNR = Ultimate – Latest Paid.</t>
  </si>
  <si>
    <t>Accident Year</t>
  </si>
  <si>
    <t>Dev 0</t>
  </si>
  <si>
    <t>Dev 1</t>
  </si>
  <si>
    <t>Dev 2</t>
  </si>
  <si>
    <t>Dev 3</t>
  </si>
  <si>
    <t>Dev 4</t>
  </si>
  <si>
    <t>Dev 5</t>
  </si>
  <si>
    <t>Latest Paid</t>
  </si>
  <si>
    <t>Ultimate</t>
  </si>
  <si>
    <t>IBNR</t>
  </si>
  <si>
    <t>2019</t>
  </si>
  <si>
    <t>2020</t>
  </si>
  <si>
    <t>2021</t>
  </si>
  <si>
    <t>2022</t>
  </si>
  <si>
    <t>2023</t>
  </si>
  <si>
    <t>2024</t>
  </si>
  <si>
    <t>Development Factor</t>
  </si>
  <si>
    <t>TOTAL IBNR</t>
  </si>
  <si>
    <t>D.  Claims in Transit Reserve  (Pipeline Claims)</t>
  </si>
  <si>
    <t>SP1 Ch.21: Claims reported but not yet assessed or recorded. Estimated as: average number of pipeline claims × average cost per claim. Can be significant for emergency PMI claims.</t>
  </si>
  <si>
    <t>Average pipeline claims per week</t>
  </si>
  <si>
    <t>Admin lag estimate</t>
  </si>
  <si>
    <t>Average weeks in pipeline</t>
  </si>
  <si>
    <t>Processing time</t>
  </si>
  <si>
    <t>Average cost per pipeline claim (£)</t>
  </si>
  <si>
    <t>Based on experience</t>
  </si>
  <si>
    <t>Claims in Transit Reserve (£)</t>
  </si>
  <si>
    <t>E.  Outstanding Reported Claims Reserve</t>
  </si>
  <si>
    <t>SP1 Ch.21: Reserve for claims notified but not yet fully settled. Case estimate or statistical method. PMI: few long-tail claims (chronic conditions excluded); reserve typically small.</t>
  </si>
  <si>
    <t>Claim Ref</t>
  </si>
  <si>
    <t>Case Estimate (£)</t>
  </si>
  <si>
    <t>% Settled to Date</t>
  </si>
  <si>
    <t>Outstanding (£)</t>
  </si>
  <si>
    <t>PMI-001</t>
  </si>
  <si>
    <t>PMI-002</t>
  </si>
  <si>
    <t>PMI-003</t>
  </si>
  <si>
    <t>PMI-004</t>
  </si>
  <si>
    <t>PMI-005</t>
  </si>
  <si>
    <t>TOTAL Outstanding Claims</t>
  </si>
  <si>
    <t>F.  IBNER Reserve  (Incurred But Not Enough Reported)</t>
  </si>
  <si>
    <t>0.05</t>
  </si>
  <si>
    <t>SP1 Ch.21: IBNER = adjustment (+ or –) to outstanding reported claims reserve where case estimates are believed to be systematically wrong. Shown separately to aid management insight and may receive different tax treatment.</t>
  </si>
  <si>
    <t>Outstanding Claims Reserve (from E)</t>
  </si>
  <si>
    <t>Linked from Section E</t>
  </si>
  <si>
    <t>IBNER Factor (from Assumptions)</t>
  </si>
  <si>
    <t>Linked from ⚙️ Assumptions D.1</t>
  </si>
  <si>
    <t>IBNER Reserve (£)</t>
  </si>
  <si>
    <t>G.  Reopened Claims Reserve</t>
  </si>
  <si>
    <t>SP1 concept: Some settled claims are subsequently reopened (e.g., condition recurs, late discovery of additional treatment costs). Reserve = Total claims paid in period × reopening rate × average reopened claim cost.</t>
  </si>
  <si>
    <t>Total Claims Paid in Year (£)</t>
  </si>
  <si>
    <t>From claims data</t>
  </si>
  <si>
    <t>Reopened Claims Rate (from Assumptions)</t>
  </si>
  <si>
    <t>From ⚙️ Assumptions D.2</t>
  </si>
  <si>
    <t>From ⚙️ Assumptions D.3</t>
  </si>
  <si>
    <t>Reopened Claims Reserve (£)</t>
  </si>
  <si>
    <t>H.  PMI Total Reserve Summary</t>
  </si>
  <si>
    <t>Reserve Component</t>
  </si>
  <si>
    <t>Amount (£)</t>
  </si>
  <si>
    <t>SP1 Reference</t>
  </si>
  <si>
    <t>UPR</t>
  </si>
  <si>
    <t>Ch.21 S2.2 – retrospective</t>
  </si>
  <si>
    <t>AURR</t>
  </si>
  <si>
    <t>Ch.21 S2.2 – prospective top-up</t>
  </si>
  <si>
    <t>IBNR (Chain Ladder)</t>
  </si>
  <si>
    <t>Ch.21 S3.2 – statistical</t>
  </si>
  <si>
    <t>Claims in Transit</t>
  </si>
  <si>
    <t>Ch.21 S2.2 – pipeline claims</t>
  </si>
  <si>
    <t>Outstanding Claims</t>
  </si>
  <si>
    <t>Ch.21 S2.2 – case estimates</t>
  </si>
  <si>
    <t>IBNER</t>
  </si>
  <si>
    <t>Ch.21 S2.2 – reserve adjustment</t>
  </si>
  <si>
    <t>Reopened Claims</t>
  </si>
  <si>
    <t>Ch.21 concept</t>
  </si>
  <si>
    <t>TOTAL PMI RESERVE</t>
  </si>
  <si>
    <t>🛡️  Critical Illness (CI)  —  Reserving Model</t>
  </si>
  <si>
    <t>SP1 Ch.21 S2.1: CI is LONG-TERM insurance. Key reserve: prospective policy reserve = EPV(future claims + expenses) – EPV(future premiums). Also: IBNR (late notification increasingly common in CI – policyholders discover cover for conditions years after diagnosis), Outstanding Claims, IBNER, Reopened.</t>
  </si>
  <si>
    <t>A.  Policy Reserve  —  Prospective Method  (EPV of Future Cashflows)</t>
  </si>
  <si>
    <t>Reserve = EPV(future claims) + EPV(future expenses) – EPV(future premiums). CI is a lump sum benefit on diagnosis of a specified condition. Probability of claim increases with age. Discount at rate from Assumptions.</t>
  </si>
  <si>
    <t>Cohort</t>
  </si>
  <si>
    <t>Policies In-Force</t>
  </si>
  <si>
    <t>Sum Insured (£)</t>
  </si>
  <si>
    <t>Annual Expense (£)</t>
  </si>
  <si>
    <t>Claim Prob (pa)</t>
  </si>
  <si>
    <t>Remaining Term (yrs)</t>
  </si>
  <si>
    <t>EPV Claims (£)</t>
  </si>
  <si>
    <t>EPV Expenses (£)</t>
  </si>
  <si>
    <t>EPV Premiums (£)</t>
  </si>
  <si>
    <t>Age 35-44</t>
  </si>
  <si>
    <t>Age 45-54</t>
  </si>
  <si>
    <t>Age 55-64</t>
  </si>
  <si>
    <t>Age 65-74</t>
  </si>
  <si>
    <t>TOTAL Policy Reserve  =  EPV Claims + EPV Exp – EPV Prem</t>
  </si>
  <si>
    <t>NET POLICY RESERVE  (EPV Claims + EPV Exp – EPV Prem)</t>
  </si>
  <si>
    <t>B.  IBNR Reserve  —  Chain Ladder (Statistical Method)</t>
  </si>
  <si>
    <t>SP1 KEY POINT: CI IBNR can be SUBSTANTIAL. Policyholders may not realise they were covered for a condition until years after diagnosis (e.g., broker discovers entitlement). Late notification is increasingly common.</t>
  </si>
  <si>
    <t>Chain Ladder — CI  |  IBNR Reserve</t>
  </si>
  <si>
    <t>C.  Outstanding Claims Reserve  (Claims in Assessment Period)</t>
  </si>
  <si>
    <t>SP1: CI claims in assessment period = reported but not yet fully verified. CI has a claims verification/assessment process; claims may remain outstanding for months while medical evidence is gathered.</t>
  </si>
  <si>
    <t>Prob of Valid Claim</t>
  </si>
  <si>
    <t>Expected Payout (£)</t>
  </si>
  <si>
    <t>CI-001</t>
  </si>
  <si>
    <t>CI-002</t>
  </si>
  <si>
    <t>CI-003</t>
  </si>
  <si>
    <t>CI-004</t>
  </si>
  <si>
    <t>CI-005</t>
  </si>
  <si>
    <t>D.  IBNER Reserve</t>
  </si>
  <si>
    <t>0.08</t>
  </si>
  <si>
    <t>Outstanding Claims Reserve</t>
  </si>
  <si>
    <t>E.  Reopened Claims Reserve</t>
  </si>
  <si>
    <t>Reopened Claims Rate</t>
  </si>
  <si>
    <t>Avg Reopened Claim Cost (£)</t>
  </si>
  <si>
    <t>F.  CI Total Reserve Summary</t>
  </si>
  <si>
    <t>Policy Reserve (EPV)</t>
  </si>
  <si>
    <t>Ch.21 S2.1 – prospective</t>
  </si>
  <si>
    <t>Ch.21 S3.2 – late notification risk</t>
  </si>
  <si>
    <t>Ch.21 S2.1 – assessment period</t>
  </si>
  <si>
    <t>Ch.21 S2.1</t>
  </si>
  <si>
    <t>TOTAL CI RESERVE</t>
  </si>
  <si>
    <t>💼  Income Protection (IP)  —  Reserving Model</t>
  </si>
  <si>
    <t>SP1 Ch.21 S2.1: IP is LONG-TERM insurance. Policy reserve = EPV(future claims) + EPV(expenses) – EPV(premiums). Active claims reserve uses CONTINUANCE TABLE (probability of remaining on claim) to value benefit annuity. Deferred period is key: IBNR arises when claimant is in deferred period and hasn't notified insurer.</t>
  </si>
  <si>
    <t>A.  Active Claims Reserve  —  Continuance Table Method</t>
  </si>
  <si>
    <t>SP1 Ch.21: For IP claimants currently in payment, reserve = EPV of future benefit payments = benefit × continuance annuity. Continuance probability p(t) = prob still claiming at duration t. Reserve shown per claimant cohort; annuity discounted at assumptions rate.</t>
  </si>
  <si>
    <t>Claimant Cohort</t>
  </si>
  <si>
    <t># Claimants</t>
  </si>
  <si>
    <t>Weekly Benefit (£)</t>
  </si>
  <si>
    <t>Avg Duration on Claim (wks)</t>
  </si>
  <si>
    <t>Recovery Rate (pa)</t>
  </si>
  <si>
    <t>Mortality Rate (pa)</t>
  </si>
  <si>
    <t>Continuance Factor</t>
  </si>
  <si>
    <t>Active Claims Reserve (£)</t>
  </si>
  <si>
    <t>&lt; 1 yr on claim</t>
  </si>
  <si>
    <t>1–2 yrs on claim</t>
  </si>
  <si>
    <t>2–5 yrs on claim</t>
  </si>
  <si>
    <t>&gt; 5 yrs on claim</t>
  </si>
  <si>
    <t>TOTAL Active Claims Reserve</t>
  </si>
  <si>
    <t>B.  Policy Reserve  (Healthy Policyholders)  —  Prospective Method</t>
  </si>
  <si>
    <t>0.10</t>
  </si>
  <si>
    <t>SP1 Ch.21 Q&amp;A: Healthy policyholder reserve = EPV(future claim inceptions × benefit duration) + EPV(expenses) – EPV(premiums). Claim inception rate increases with age. Shown by age band.</t>
  </si>
  <si>
    <t>Age Band</t>
  </si>
  <si>
    <t>Policies</t>
  </si>
  <si>
    <t>Claim Inception Rate (pa)</t>
  </si>
  <si>
    <t>Avg Benefit Duration (yrs)</t>
  </si>
  <si>
    <t>Policy Reserve (£)</t>
  </si>
  <si>
    <t>25–34</t>
  </si>
  <si>
    <t>35–44</t>
  </si>
  <si>
    <t>45–54</t>
  </si>
  <si>
    <t>55–64</t>
  </si>
  <si>
    <t>TOTAL Policy Reserve (Healthy Lives)</t>
  </si>
  <si>
    <t>SP1: IP IBNR arises from claimants in the DEFERRED PERIOD who have not yet notified the insurer. Can be substantial given long deferred periods (e.g., 26 weeks). Development pattern is longer-tailed than PMI.</t>
  </si>
  <si>
    <t>Chain Ladder — IP  |  IBNR Reserve</t>
  </si>
  <si>
    <t>Active Claims Reserve</t>
  </si>
  <si>
    <t>F.  IP Total Reserve Summary</t>
  </si>
  <si>
    <t>Policy Reserve (Healthy Lives)</t>
  </si>
  <si>
    <t>Active Claims Reserve (Continuance)</t>
  </si>
  <si>
    <t>Ch.21 S2.1 – disabled life reserve</t>
  </si>
  <si>
    <t>Ch.21 S3.2 – deferred period risk</t>
  </si>
  <si>
    <t>TOTAL IP RESERVE</t>
  </si>
  <si>
    <t>🏡  Long Term Care Insurance (LTCI)  —  Reserving Model</t>
  </si>
  <si>
    <t>SP1: LTCI is LONG-TERM insurance. Pays benefit when policyholder cannot perform activities of daily living. Claims are very long-tailed. Continuance table critical: recovery rates low, mortality on claim significant. Development factors longest of all four products.</t>
  </si>
  <si>
    <t>SP1: LTCI active claims annuity uses low recovery rates and significant mortality. Benefits may be weekly/monthly care costs. Long durations make reserve very sensitive to assumptions (discount rate, recovery, mortality).</t>
  </si>
  <si>
    <t>Age &lt; 75</t>
  </si>
  <si>
    <t>Age 75–79</t>
  </si>
  <si>
    <t>Age 80–84</t>
  </si>
  <si>
    <t>Age 85+</t>
  </si>
  <si>
    <t>B.  Policy Reserve  (Healthy Policyholders)</t>
  </si>
  <si>
    <t>0.12</t>
  </si>
  <si>
    <t>EPV approach. LTCI claim inception rates increase sharply at older ages. Benefit is care costs per week; escalation clauses may apply.</t>
  </si>
  <si>
    <t>Inception Rate (pa)</t>
  </si>
  <si>
    <t>50–59</t>
  </si>
  <si>
    <t>60–69</t>
  </si>
  <si>
    <t>70–74</t>
  </si>
  <si>
    <t>75–79</t>
  </si>
  <si>
    <t>SP1: LTCI has the LONGEST development tail of all products. Claims can be notified years after care needs begin. Development factors much higher than PMI. Large IBNR expected.</t>
  </si>
  <si>
    <t>Chain Ladder — LTCI  |  IBNR Reserve</t>
  </si>
  <si>
    <t>F.  LTCI Total Reserve Summary</t>
  </si>
  <si>
    <t>Ch.21 S3.2 – longest tail</t>
  </si>
  <si>
    <t>TOTAL LTCI RESERVE</t>
  </si>
  <si>
    <t>📊  Reserve Summary  |  All Products  |  SP1 Chapter 21</t>
  </si>
  <si>
    <t>SP1 Ch.21 S1: Reserve basis depends on purpose. Published accounts → best estimate / slightly prudent. Solvency supervision → most prudent. Internal → best estimate. M&amp;A → near best estimate.</t>
  </si>
  <si>
    <t>Consolidated Reserve Summary by Product and Reserve Type</t>
  </si>
  <si>
    <t>Reserve Type</t>
  </si>
  <si>
    <t>PMI (£)</t>
  </si>
  <si>
    <t>CI (£)</t>
  </si>
  <si>
    <t>IP (£)</t>
  </si>
  <si>
    <t>LTCI (£)</t>
  </si>
  <si>
    <t>Total (£)</t>
  </si>
  <si>
    <t>SP1 Ch.21 Reference</t>
  </si>
  <si>
    <t>Policy Reserve / UPR+AURR</t>
  </si>
  <si>
    <t>→ see tab</t>
  </si>
  <si>
    <t>Long-term: EPV of future cashflows. Short-term: UPR (retrospective) + AURR (prospective top-up)</t>
  </si>
  <si>
    <t>N/A</t>
  </si>
  <si>
    <t>Continuance table annuity for claims in payment. IP: recovery/mortality. LTCI: very low recovery</t>
  </si>
  <si>
    <t>Statistical. LTCI &gt; IP &gt; CI &gt; PMI in tail length. CI: late notification increasingly common</t>
  </si>
  <si>
    <t>Outstanding / Transit Claims</t>
  </si>
  <si>
    <t>PMI: case estimates + in-transit pipeline. CI: assessment period claims. IP/LTCI: disability verification</t>
  </si>
  <si>
    <t>Adjustment to O/S reserve where case estimates systematically wrong. Separate for management info</t>
  </si>
  <si>
    <t>Previously settled claims subsequently reopened. Rate × avg cost</t>
  </si>
  <si>
    <t>Total Reserve by Product  (linked from product tabs)</t>
  </si>
  <si>
    <t>Product</t>
  </si>
  <si>
    <t>Total Reserve (£)</t>
  </si>
  <si>
    <t>Product Type</t>
  </si>
  <si>
    <t>Key Reserve Component</t>
  </si>
  <si>
    <t>SP1 Note</t>
  </si>
  <si>
    <t>Short-term</t>
  </si>
  <si>
    <t>UPR + AURR + IBNR + O/S + IBNER + Reopened</t>
  </si>
  <si>
    <t>S2.2: UPR retrospective; AURR prospective top-up where premiums inadequate</t>
  </si>
  <si>
    <t>Long-term</t>
  </si>
  <si>
    <t>Policy Reserve + IBNR + O/S + IBNER + Reopened</t>
  </si>
  <si>
    <t>S2.1: IBNR can be large – late notification increasingly common</t>
  </si>
  <si>
    <t>Policy Reserve + Active Claims + IBNR + IBNER + Reopened</t>
  </si>
  <si>
    <t>S2.1: Active claims (disabled life reserve) uses continuance table; deferred period key to IBNR</t>
  </si>
  <si>
    <t>S2.1: Longest-tailed product; very sensitive to discount rate &amp; recovery assumptions</t>
  </si>
  <si>
    <t>GRAND TOTAL  —  ALL PRODUCTS</t>
  </si>
  <si>
    <t>SP1 Ch.21 S1: Purpose of Reserves &amp; Impact on Assumptions</t>
  </si>
  <si>
    <t>PUBLISHED ACCOUNTS: Best estimate or slightly prudent. True &amp; fair view. | SOLVENCY SUPERVISION: Most prudent – or best estimate + explicit risk margin. | INTERNAL MGMT: Best estimate – realistic financial condition. | PREMIUM RATING: Best estimate ± small prudence margin. | M&amp;A VALUATION: Near best estimate (optimistic for seller, prudent for buyer).</t>
  </si>
  <si>
    <t>INVESTMENT STRATEGY: Best estimate – match assets to liabilities. | REINSURANCE: Best estimate – realistic view of reinsurance needs. | The choice of basis above changes the assumptions on discount rate, claim frequency, recovery rates, inflation – NOT the model structure.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</si>
</sst>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0.0%;\-0.0%;\-"/>
    <numFmt numFmtId="165" formatCode="0.000\x"/>
    <numFmt numFmtId="166" formatCode="#,##0;\(#,##0\);\-"/>
    <numFmt numFmtId="167" formatCode="\£#,##0;&quot;(£&quot;#,##0\);\-"/>
    <numFmt numFmtId="168" formatCode="0.00%;\-0.00%;\-"/>
    <numFmt numFmtId="169" formatCode="0.0"/>
  </numFmts>
  <fonts count="29" x14ac:knownFonts="1">
    <font>
      <sz val="11"/>
      <color theme="1"/>
      <name val="Calibri"/>
      <family val="2"/>
      <charset val="1"/>
    </font>
    <font>
      <b/>
      <sz val="14"/>
      <color rgb="FFFFFFFF"/>
      <name val="Arial"/>
      <charset val="1"/>
    </font>
    <font>
      <b/>
      <sz val="10"/>
      <color rgb="FFFFFFFF"/>
      <name val="Arial"/>
      <charset val="1"/>
    </font>
    <font>
      <sz val="10"/>
      <color rgb="FF000000"/>
      <name val="Arial"/>
      <charset val="1"/>
    </font>
    <font>
      <b/>
      <sz val="10"/>
      <color rgb="FF0000FF"/>
      <name val="Arial"/>
      <charset val="1"/>
    </font>
    <font>
      <sz val="9"/>
      <name val="Arial"/>
      <charset val="1"/>
    </font>
    <font>
      <b/>
      <sz val="10"/>
      <color rgb="FF000000"/>
      <name val="Arial"/>
      <charset val="1"/>
    </font>
    <font>
      <b/>
      <sz val="10"/>
      <color rgb="FF008000"/>
      <name val="Arial"/>
      <charset val="1"/>
    </font>
    <font>
      <b/>
      <sz val="10"/>
      <color rgb="FF17375E"/>
      <name val="Arial"/>
      <charset val="1"/>
    </font>
    <font>
      <b/>
      <sz val="10"/>
      <color rgb="FFC00000"/>
      <name val="Arial"/>
      <charset val="1"/>
    </font>
    <font>
      <i/>
      <sz val="8"/>
      <color rgb="FF595959"/>
      <name val="Arial"/>
      <charset val="1"/>
    </font>
    <font>
      <b/>
      <sz val="13"/>
      <color rgb="FFFFFFFF"/>
      <name val="Arial"/>
      <charset val="1"/>
    </font>
    <font>
      <sz val="10"/>
      <color rgb="FF0000FF"/>
      <name val="Arial"/>
      <charset val="1"/>
    </font>
    <font>
      <b/>
      <sz val="11"/>
      <color rgb="FFFFFFFF"/>
      <name val="Arial"/>
      <charset val="1"/>
    </font>
    <font>
      <b/>
      <sz val="11"/>
      <color rgb="FFC00000"/>
      <name val="Arial"/>
      <charset val="1"/>
    </font>
    <font>
      <sz val="9"/>
      <color rgb="FF008000"/>
      <name val="Arial"/>
      <charset val="1"/>
    </font>
    <font>
      <b/>
      <sz val="9"/>
      <color rgb="FF17375E"/>
      <name val="Arial"/>
      <charset val="1"/>
    </font>
    <font>
      <b/>
      <sz val="9"/>
      <color rgb="FFFFFFFF"/>
      <name val="Arial"/>
      <charset val="1"/>
    </font>
    <font>
      <sz val="9"/>
      <color rgb="FF000000"/>
      <name val="Arial"/>
      <charset val="1"/>
    </font>
    <font>
      <b/>
      <sz val="9"/>
      <color rgb="FFC00000"/>
      <name val="Arial"/>
      <charset val="1"/>
    </font>
    <font>
      <sz val="11"/>
      <color rgb="FF008000"/>
      <name val="Arial"/>
      <charset val="1"/>
    </font>
    <font>
      <i/>
      <sz val="9"/>
      <color rgb="FF4472C4"/>
      <name val="Arial"/>
      <charset val="1"/>
    </font>
    <font>
      <i/>
      <sz val="9"/>
      <color rgb="FF888888"/>
      <name val="Arial"/>
      <charset val="1"/>
    </font>
    <font>
      <b/>
      <sz val="9"/>
      <color rgb="FF008000"/>
      <name val="Arial"/>
      <charset val="1"/>
    </font>
    <font>
      <i/>
      <sz val="9"/>
      <name val="Arial"/>
      <charset val="1"/>
    </font>
    <font>
      <b/>
      <sz val="12"/>
      <color rgb="FFFFFFFF"/>
      <name val="Arial"/>
      <charset val="1"/>
    </font>
    <font>
      <b/>
      <sz val="11"/>
      <color rgb="FFC00000"/>
      <name val="Arial"/>
      <family val="2"/>
    </font>
    <font>
      <sz val="11"/>
      <color rgb="FF008000"/>
      <name val="Arial"/>
      <family val="2"/>
    </font>
    <font>
      <b/>
      <sz val="10"/>
      <color rgb="FFC00000"/>
      <name val="Arial"/>
      <family val="2"/>
    </font>
  </fonts>
  <fills count="13">
    <fill>
      <patternFill patternType="none"/>
    </fill>
    <fill>
      <patternFill patternType="gray125"/>
    </fill>
    <fill>
      <patternFill patternType="solid">
        <fgColor rgb="FF1F3864"/>
        <bgColor rgb="FF17375E"/>
      </patternFill>
    </fill>
    <fill>
      <patternFill patternType="solid">
        <fgColor rgb="FF2E4D91"/>
        <bgColor rgb="FF1F3864"/>
      </patternFill>
    </fill>
    <fill>
      <patternFill patternType="solid">
        <fgColor rgb="FFEEF2FA"/>
        <bgColor rgb="FFF2F2F2"/>
      </patternFill>
    </fill>
    <fill>
      <patternFill patternType="solid">
        <fgColor rgb="FFFFFFFF"/>
        <bgColor rgb="FFF2F2F2"/>
      </patternFill>
    </fill>
    <fill>
      <patternFill patternType="solid">
        <fgColor rgb="FFFFF2CC"/>
        <bgColor rgb="FFFCE4D6"/>
      </patternFill>
    </fill>
    <fill>
      <patternFill patternType="solid">
        <fgColor rgb="FFF2F2F2"/>
        <bgColor rgb="FFEEF2FA"/>
      </patternFill>
    </fill>
    <fill>
      <patternFill patternType="solid">
        <fgColor rgb="FFE2EFDA"/>
        <bgColor rgb="FFF2F2F2"/>
      </patternFill>
    </fill>
    <fill>
      <patternFill patternType="solid">
        <fgColor rgb="FFD9E1F2"/>
        <bgColor rgb="FFE2EFDA"/>
      </patternFill>
    </fill>
    <fill>
      <patternFill patternType="solid">
        <fgColor rgb="FFFCE4D6"/>
        <bgColor rgb="FFFFF2CC"/>
      </patternFill>
    </fill>
    <fill>
      <patternFill patternType="solid">
        <fgColor rgb="FF4472C4"/>
        <bgColor rgb="FF2E4D91"/>
      </patternFill>
    </fill>
    <fill>
      <patternFill patternType="solid">
        <fgColor rgb="FF17375E"/>
        <bgColor rgb="FF1F3864"/>
      </patternFill>
    </fill>
  </fills>
  <borders count="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69">
    <xf numFmtId="0" fontId="0" fillId="0" borderId="0" xfId="0"/>
    <xf numFmtId="0" fontId="2" fillId="3" borderId="0" xfId="0" applyFont="1" applyFill="1" applyAlignment="1">
      <alignment horizontal="left" vertical="center" indent="1"/>
    </xf>
    <xf numFmtId="0" fontId="10" fillId="4" borderId="0" xfId="0" applyFont="1" applyFill="1" applyAlignment="1">
      <alignment horizontal="left" vertical="center" wrapText="1" indent="1"/>
    </xf>
    <xf numFmtId="0" fontId="2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left" vertical="center" indent="1"/>
    </xf>
    <xf numFmtId="0" fontId="3" fillId="5" borderId="1" xfId="0" applyFont="1" applyFill="1" applyBorder="1" applyAlignment="1">
      <alignment horizontal="left" vertical="center" indent="1"/>
    </xf>
    <xf numFmtId="0" fontId="4" fillId="6" borderId="1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0" fontId="7" fillId="8" borderId="1" xfId="0" applyFont="1" applyFill="1" applyBorder="1" applyAlignment="1">
      <alignment horizontal="center" vertical="center"/>
    </xf>
    <xf numFmtId="0" fontId="8" fillId="9" borderId="1" xfId="0" applyFont="1" applyFill="1" applyBorder="1" applyAlignment="1">
      <alignment horizontal="center" vertical="center"/>
    </xf>
    <xf numFmtId="0" fontId="9" fillId="10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left" vertical="center" indent="2"/>
    </xf>
    <xf numFmtId="0" fontId="12" fillId="6" borderId="1" xfId="0" applyFont="1" applyFill="1" applyBorder="1" applyAlignment="1">
      <alignment horizontal="right" vertical="center"/>
    </xf>
    <xf numFmtId="164" fontId="12" fillId="6" borderId="1" xfId="0" applyNumberFormat="1" applyFont="1" applyFill="1" applyBorder="1" applyAlignment="1">
      <alignment horizontal="right" vertical="center"/>
    </xf>
    <xf numFmtId="165" fontId="12" fillId="6" borderId="1" xfId="0" applyNumberFormat="1" applyFont="1" applyFill="1" applyBorder="1" applyAlignment="1">
      <alignment horizontal="right" vertical="center"/>
    </xf>
    <xf numFmtId="166" fontId="12" fillId="6" borderId="1" xfId="0" applyNumberFormat="1" applyFont="1" applyFill="1" applyBorder="1" applyAlignment="1">
      <alignment horizontal="right" vertical="center"/>
    </xf>
    <xf numFmtId="0" fontId="8" fillId="9" borderId="1" xfId="0" applyFont="1" applyFill="1" applyBorder="1" applyAlignment="1">
      <alignment horizontal="center" vertical="center" wrapText="1"/>
    </xf>
    <xf numFmtId="167" fontId="12" fillId="6" borderId="1" xfId="0" applyNumberFormat="1" applyFont="1" applyFill="1" applyBorder="1" applyAlignment="1">
      <alignment horizontal="right" vertical="center"/>
    </xf>
    <xf numFmtId="167" fontId="3" fillId="5" borderId="1" xfId="0" applyNumberFormat="1" applyFont="1" applyFill="1" applyBorder="1" applyAlignment="1">
      <alignment horizontal="right" vertical="center"/>
    </xf>
    <xf numFmtId="166" fontId="3" fillId="5" borderId="1" xfId="0" applyNumberFormat="1" applyFont="1" applyFill="1" applyBorder="1" applyAlignment="1">
      <alignment horizontal="right" vertical="center"/>
    </xf>
    <xf numFmtId="167" fontId="3" fillId="6" borderId="1" xfId="0" applyNumberFormat="1" applyFont="1" applyFill="1" applyBorder="1" applyAlignment="1">
      <alignment horizontal="right" vertical="center"/>
    </xf>
    <xf numFmtId="0" fontId="13" fillId="11" borderId="1" xfId="0" applyFont="1" applyFill="1" applyBorder="1" applyAlignment="1">
      <alignment horizontal="left" vertical="center" indent="2"/>
    </xf>
    <xf numFmtId="167" fontId="14" fillId="6" borderId="1" xfId="0" applyNumberFormat="1" applyFont="1" applyFill="1" applyBorder="1" applyAlignment="1">
      <alignment horizontal="right" vertical="center"/>
    </xf>
    <xf numFmtId="167" fontId="15" fillId="8" borderId="1" xfId="0" applyNumberFormat="1" applyFont="1" applyFill="1" applyBorder="1" applyAlignment="1">
      <alignment horizontal="right" vertical="center"/>
    </xf>
    <xf numFmtId="0" fontId="13" fillId="3" borderId="1" xfId="0" applyFont="1" applyFill="1" applyBorder="1" applyAlignment="1">
      <alignment horizontal="left" vertical="center" indent="1"/>
    </xf>
    <xf numFmtId="0" fontId="17" fillId="3" borderId="1" xfId="0" applyFont="1" applyFill="1" applyBorder="1" applyAlignment="1">
      <alignment horizontal="center" vertical="center"/>
    </xf>
    <xf numFmtId="0" fontId="17" fillId="12" borderId="1" xfId="0" applyFont="1" applyFill="1" applyBorder="1" applyAlignment="1">
      <alignment horizontal="center" vertical="center"/>
    </xf>
    <xf numFmtId="167" fontId="3" fillId="8" borderId="1" xfId="0" applyNumberFormat="1" applyFont="1" applyFill="1" applyBorder="1" applyAlignment="1">
      <alignment horizontal="right" vertical="center"/>
    </xf>
    <xf numFmtId="166" fontId="18" fillId="8" borderId="1" xfId="0" applyNumberFormat="1" applyFont="1" applyFill="1" applyBorder="1" applyAlignment="1">
      <alignment horizontal="right" vertical="center"/>
    </xf>
    <xf numFmtId="0" fontId="6" fillId="4" borderId="1" xfId="0" applyFont="1" applyFill="1" applyBorder="1" applyAlignment="1">
      <alignment horizontal="left" vertical="center" indent="2"/>
    </xf>
    <xf numFmtId="165" fontId="15" fillId="8" borderId="1" xfId="0" applyNumberFormat="1" applyFont="1" applyFill="1" applyBorder="1" applyAlignment="1">
      <alignment horizontal="right" vertical="center"/>
    </xf>
    <xf numFmtId="0" fontId="6" fillId="5" borderId="1" xfId="0" applyFont="1" applyFill="1" applyBorder="1" applyAlignment="1">
      <alignment horizontal="left" vertical="center" indent="2"/>
    </xf>
    <xf numFmtId="164" fontId="15" fillId="8" borderId="1" xfId="0" applyNumberFormat="1" applyFont="1" applyFill="1" applyBorder="1" applyAlignment="1">
      <alignment horizontal="right" vertical="center"/>
    </xf>
    <xf numFmtId="167" fontId="19" fillId="6" borderId="1" xfId="0" applyNumberFormat="1" applyFont="1" applyFill="1" applyBorder="1" applyAlignment="1">
      <alignment horizontal="right" vertical="center"/>
    </xf>
    <xf numFmtId="167" fontId="20" fillId="8" borderId="1" xfId="0" applyNumberFormat="1" applyFont="1" applyFill="1" applyBorder="1" applyAlignment="1">
      <alignment horizontal="right" vertical="center"/>
    </xf>
    <xf numFmtId="164" fontId="20" fillId="8" borderId="1" xfId="0" applyNumberFormat="1" applyFont="1" applyFill="1" applyBorder="1" applyAlignment="1">
      <alignment horizontal="right" vertical="center"/>
    </xf>
    <xf numFmtId="0" fontId="13" fillId="2" borderId="1" xfId="0" applyFont="1" applyFill="1" applyBorder="1" applyAlignment="1">
      <alignment horizontal="left" vertical="center" indent="2"/>
    </xf>
    <xf numFmtId="168" fontId="12" fillId="6" borderId="1" xfId="0" applyNumberFormat="1" applyFont="1" applyFill="1" applyBorder="1" applyAlignment="1">
      <alignment horizontal="right" vertical="center"/>
    </xf>
    <xf numFmtId="167" fontId="18" fillId="8" borderId="1" xfId="0" applyNumberFormat="1" applyFont="1" applyFill="1" applyBorder="1" applyAlignment="1">
      <alignment horizontal="right" vertical="center"/>
    </xf>
    <xf numFmtId="167" fontId="18" fillId="5" borderId="1" xfId="0" applyNumberFormat="1" applyFont="1" applyFill="1" applyBorder="1" applyAlignment="1">
      <alignment horizontal="right" vertical="center"/>
    </xf>
    <xf numFmtId="2" fontId="18" fillId="8" borderId="1" xfId="0" applyNumberFormat="1" applyFont="1" applyFill="1" applyBorder="1" applyAlignment="1">
      <alignment horizontal="right" vertical="center"/>
    </xf>
    <xf numFmtId="167" fontId="18" fillId="6" borderId="1" xfId="0" applyNumberFormat="1" applyFont="1" applyFill="1" applyBorder="1" applyAlignment="1">
      <alignment horizontal="right" vertical="center"/>
    </xf>
    <xf numFmtId="0" fontId="16" fillId="9" borderId="1" xfId="0" applyFont="1" applyFill="1" applyBorder="1" applyAlignment="1">
      <alignment horizontal="center" vertical="center"/>
    </xf>
    <xf numFmtId="169" fontId="12" fillId="6" borderId="1" xfId="0" applyNumberFormat="1" applyFont="1" applyFill="1" applyBorder="1" applyAlignment="1">
      <alignment horizontal="right" vertical="center"/>
    </xf>
    <xf numFmtId="0" fontId="18" fillId="5" borderId="1" xfId="0" applyFont="1" applyFill="1" applyBorder="1" applyAlignment="1">
      <alignment horizontal="right" vertical="center"/>
    </xf>
    <xf numFmtId="0" fontId="5" fillId="5" borderId="1" xfId="0" applyFont="1" applyFill="1" applyBorder="1" applyAlignment="1">
      <alignment horizontal="right" vertical="center"/>
    </xf>
    <xf numFmtId="0" fontId="2" fillId="3" borderId="1" xfId="0" applyFont="1" applyFill="1" applyBorder="1" applyAlignment="1">
      <alignment horizontal="center" vertical="center" wrapText="1"/>
    </xf>
    <xf numFmtId="0" fontId="21" fillId="4" borderId="1" xfId="0" applyFont="1" applyFill="1" applyBorder="1" applyAlignment="1">
      <alignment horizontal="center" vertical="center"/>
    </xf>
    <xf numFmtId="0" fontId="10" fillId="5" borderId="1" xfId="0" applyFont="1" applyFill="1" applyBorder="1" applyAlignment="1">
      <alignment horizontal="left" vertical="center" wrapText="1"/>
    </xf>
    <xf numFmtId="0" fontId="22" fillId="7" borderId="1" xfId="0" applyFont="1" applyFill="1" applyBorder="1" applyAlignment="1">
      <alignment horizontal="center" vertical="center"/>
    </xf>
    <xf numFmtId="167" fontId="23" fillId="8" borderId="1" xfId="0" applyNumberFormat="1" applyFont="1" applyFill="1" applyBorder="1" applyAlignment="1">
      <alignment horizontal="right" vertical="center"/>
    </xf>
    <xf numFmtId="0" fontId="10" fillId="4" borderId="1" xfId="0" applyFont="1" applyFill="1" applyBorder="1" applyAlignment="1">
      <alignment horizontal="left" vertical="center" wrapText="1"/>
    </xf>
    <xf numFmtId="0" fontId="25" fillId="2" borderId="1" xfId="0" applyFont="1" applyFill="1" applyBorder="1" applyAlignment="1">
      <alignment horizontal="left" vertical="center" indent="2"/>
    </xf>
    <xf numFmtId="0" fontId="0" fillId="0" borderId="0" xfId="0" applyAlignment="1">
      <alignment wrapText="1"/>
    </xf>
    <xf numFmtId="0" fontId="3" fillId="4" borderId="1" xfId="0" applyFont="1" applyFill="1" applyBorder="1" applyAlignment="1">
      <alignment horizontal="left" vertical="center" wrapText="1"/>
    </xf>
    <xf numFmtId="0" fontId="3" fillId="5" borderId="1" xfId="0" applyFont="1" applyFill="1" applyBorder="1" applyAlignment="1">
      <alignment horizontal="left" vertical="center" wrapText="1"/>
    </xf>
    <xf numFmtId="0" fontId="5" fillId="7" borderId="2" xfId="0" applyFont="1" applyFill="1" applyBorder="1" applyAlignment="1">
      <alignment horizontal="left" vertical="center" indent="1"/>
    </xf>
    <xf numFmtId="0" fontId="10" fillId="4" borderId="0" xfId="0" applyFont="1" applyFill="1" applyAlignment="1">
      <alignment horizontal="left" vertical="center" wrapText="1" indent="1"/>
    </xf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1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left" vertical="center" indent="1"/>
    </xf>
    <xf numFmtId="0" fontId="2" fillId="12" borderId="0" xfId="0" applyFont="1" applyFill="1" applyAlignment="1">
      <alignment horizontal="left" vertical="center" indent="1"/>
    </xf>
    <xf numFmtId="0" fontId="16" fillId="9" borderId="0" xfId="0" applyFont="1" applyFill="1" applyAlignment="1">
      <alignment horizontal="left" vertical="center" indent="1"/>
    </xf>
    <xf numFmtId="0" fontId="13" fillId="12" borderId="0" xfId="0" applyFont="1" applyFill="1" applyAlignment="1">
      <alignment horizontal="left" vertical="center" indent="1"/>
    </xf>
    <xf numFmtId="0" fontId="24" fillId="5" borderId="2" xfId="0" applyFont="1" applyFill="1" applyBorder="1" applyAlignment="1">
      <alignment horizontal="left" vertical="center" wrapText="1" indent="1"/>
    </xf>
    <xf numFmtId="167" fontId="26" fillId="6" borderId="1" xfId="0" applyNumberFormat="1" applyFont="1" applyFill="1" applyBorder="1" applyAlignment="1">
      <alignment horizontal="right" vertical="center"/>
    </xf>
    <xf numFmtId="164" fontId="27" fillId="8" borderId="1" xfId="0" applyNumberFormat="1" applyFont="1" applyFill="1" applyBorder="1" applyAlignment="1">
      <alignment horizontal="right" vertical="center"/>
    </xf>
    <xf numFmtId="167" fontId="28" fillId="6" borderId="1" xfId="0" applyNumberFormat="1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88888"/>
      <rgbColor rgb="FF9999FF"/>
      <rgbColor rgb="FF993366"/>
      <rgbColor rgb="FFFFF2CC"/>
      <rgbColor rgb="FFEEF2FA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E2EFDA"/>
      <rgbColor rgb="FFFFFF99"/>
      <rgbColor rgb="FF99CCFF"/>
      <rgbColor rgb="FFFF99CC"/>
      <rgbColor rgb="FFCC99FF"/>
      <rgbColor rgb="FFFCE4D6"/>
      <rgbColor rgb="FF4472C4"/>
      <rgbColor rgb="FF33CCCC"/>
      <rgbColor rgb="FF99CC00"/>
      <rgbColor rgb="FFFFCC00"/>
      <rgbColor rgb="FFFF9900"/>
      <rgbColor rgb="FFFF6600"/>
      <rgbColor rgb="FF595959"/>
      <rgbColor rgb="FF969696"/>
      <rgbColor rgb="FF17375E"/>
      <rgbColor rgb="FF339966"/>
      <rgbColor rgb="FF003300"/>
      <rgbColor rgb="FF333300"/>
      <rgbColor rgb="FF993300"/>
      <rgbColor rgb="FF993366"/>
      <rgbColor rgb="FF2E4D91"/>
      <rgbColor rgb="FF1F3864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E22"/>
  <sheetViews>
    <sheetView showGridLines="0" zoomScaleNormal="100" workbookViewId="0">
      <selection activeCell="D6" sqref="D6"/>
    </sheetView>
  </sheetViews>
  <sheetFormatPr defaultColWidth="8.6640625" defaultRowHeight="14.4" x14ac:dyDescent="0.3"/>
  <cols>
    <col min="1" max="1" width="4" customWidth="1"/>
    <col min="2" max="2" width="32" customWidth="1"/>
    <col min="3" max="3" width="24.5546875" bestFit="1" customWidth="1"/>
    <col min="4" max="4" width="57.109375" style="53" customWidth="1"/>
    <col min="5" max="5" width="47.88671875" bestFit="1" customWidth="1"/>
  </cols>
  <sheetData>
    <row r="1" spans="2:5" ht="7.5" customHeight="1" x14ac:dyDescent="0.3"/>
    <row r="2" spans="2:5" ht="48" customHeight="1" x14ac:dyDescent="0.3">
      <c r="B2" s="58" t="s">
        <v>0</v>
      </c>
      <c r="C2" s="58"/>
      <c r="D2" s="58"/>
      <c r="E2" s="58"/>
    </row>
    <row r="3" spans="2:5" ht="7.5" customHeight="1" x14ac:dyDescent="0.3"/>
    <row r="4" spans="2:5" ht="21.75" customHeight="1" x14ac:dyDescent="0.3">
      <c r="B4" s="3" t="s">
        <v>1</v>
      </c>
      <c r="C4" s="3" t="s">
        <v>2</v>
      </c>
      <c r="D4" s="46" t="s">
        <v>3</v>
      </c>
      <c r="E4" s="3" t="s">
        <v>4</v>
      </c>
    </row>
    <row r="5" spans="2:5" ht="21.75" customHeight="1" x14ac:dyDescent="0.3">
      <c r="B5" s="4" t="s">
        <v>5</v>
      </c>
      <c r="C5" s="4" t="s">
        <v>6</v>
      </c>
      <c r="D5" s="54" t="s">
        <v>7</v>
      </c>
      <c r="E5" s="4" t="s">
        <v>8</v>
      </c>
    </row>
    <row r="6" spans="2:5" ht="21.75" customHeight="1" x14ac:dyDescent="0.3">
      <c r="B6" s="5" t="s">
        <v>9</v>
      </c>
      <c r="C6" s="5" t="s">
        <v>10</v>
      </c>
      <c r="D6" s="55" t="s">
        <v>11</v>
      </c>
      <c r="E6" s="5" t="s">
        <v>12</v>
      </c>
    </row>
    <row r="7" spans="2:5" ht="26.4" x14ac:dyDescent="0.3">
      <c r="B7" s="4" t="s">
        <v>13</v>
      </c>
      <c r="C7" s="4" t="s">
        <v>14</v>
      </c>
      <c r="D7" s="54" t="s">
        <v>15</v>
      </c>
      <c r="E7" s="4" t="s">
        <v>16</v>
      </c>
    </row>
    <row r="8" spans="2:5" ht="26.4" x14ac:dyDescent="0.3">
      <c r="B8" s="5" t="s">
        <v>17</v>
      </c>
      <c r="C8" s="5" t="s">
        <v>18</v>
      </c>
      <c r="D8" s="55" t="s">
        <v>19</v>
      </c>
      <c r="E8" s="5" t="s">
        <v>20</v>
      </c>
    </row>
    <row r="9" spans="2:5" ht="26.4" x14ac:dyDescent="0.3">
      <c r="B9" s="4" t="s">
        <v>21</v>
      </c>
      <c r="C9" s="4" t="s">
        <v>22</v>
      </c>
      <c r="D9" s="54" t="s">
        <v>23</v>
      </c>
      <c r="E9" s="4" t="s">
        <v>24</v>
      </c>
    </row>
    <row r="10" spans="2:5" ht="26.4" x14ac:dyDescent="0.3">
      <c r="B10" s="5" t="s">
        <v>25</v>
      </c>
      <c r="C10" s="5" t="s">
        <v>26</v>
      </c>
      <c r="D10" s="55" t="s">
        <v>23</v>
      </c>
      <c r="E10" s="5" t="s">
        <v>24</v>
      </c>
    </row>
    <row r="11" spans="2:5" ht="26.4" x14ac:dyDescent="0.3">
      <c r="B11" s="4" t="s">
        <v>27</v>
      </c>
      <c r="C11" s="4" t="s">
        <v>28</v>
      </c>
      <c r="D11" s="54" t="s">
        <v>29</v>
      </c>
      <c r="E11" s="4" t="s">
        <v>30</v>
      </c>
    </row>
    <row r="13" spans="2:5" ht="7.5" customHeight="1" x14ac:dyDescent="0.3"/>
    <row r="14" spans="2:5" ht="19.5" customHeight="1" x14ac:dyDescent="0.3">
      <c r="B14" s="59" t="s">
        <v>31</v>
      </c>
      <c r="C14" s="59"/>
      <c r="D14" s="59"/>
      <c r="E14" s="59"/>
    </row>
    <row r="15" spans="2:5" ht="18" customHeight="1" x14ac:dyDescent="0.3">
      <c r="B15" s="6" t="s">
        <v>32</v>
      </c>
      <c r="C15" s="56" t="s">
        <v>33</v>
      </c>
      <c r="D15" s="56"/>
      <c r="E15" s="56"/>
    </row>
    <row r="16" spans="2:5" ht="18" customHeight="1" x14ac:dyDescent="0.3">
      <c r="B16" s="7" t="s">
        <v>32</v>
      </c>
      <c r="C16" s="56" t="s">
        <v>34</v>
      </c>
      <c r="D16" s="56"/>
      <c r="E16" s="56"/>
    </row>
    <row r="17" spans="2:5" ht="18" customHeight="1" x14ac:dyDescent="0.3">
      <c r="B17" s="8" t="s">
        <v>32</v>
      </c>
      <c r="C17" s="56" t="s">
        <v>35</v>
      </c>
      <c r="D17" s="56"/>
      <c r="E17" s="56"/>
    </row>
    <row r="18" spans="2:5" ht="18" customHeight="1" x14ac:dyDescent="0.3">
      <c r="B18" s="9" t="s">
        <v>32</v>
      </c>
      <c r="C18" s="56" t="s">
        <v>36</v>
      </c>
      <c r="D18" s="56"/>
      <c r="E18" s="56"/>
    </row>
    <row r="19" spans="2:5" ht="18" customHeight="1" x14ac:dyDescent="0.3">
      <c r="B19" s="10" t="s">
        <v>32</v>
      </c>
      <c r="C19" s="56" t="s">
        <v>37</v>
      </c>
      <c r="D19" s="56"/>
      <c r="E19" s="56"/>
    </row>
    <row r="21" spans="2:5" ht="7.5" customHeight="1" x14ac:dyDescent="0.3"/>
    <row r="22" spans="2:5" ht="18.75" customHeight="1" x14ac:dyDescent="0.3">
      <c r="B22" s="57" t="s">
        <v>38</v>
      </c>
      <c r="C22" s="57"/>
      <c r="D22" s="57"/>
      <c r="E22" s="57"/>
    </row>
  </sheetData>
  <mergeCells count="8">
    <mergeCell ref="C18:E18"/>
    <mergeCell ref="C19:E19"/>
    <mergeCell ref="B22:E22"/>
    <mergeCell ref="B2:E2"/>
    <mergeCell ref="B14:E14"/>
    <mergeCell ref="C15:E15"/>
    <mergeCell ref="C16:E16"/>
    <mergeCell ref="C17:E17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F37"/>
  <sheetViews>
    <sheetView showGridLines="0" tabSelected="1" zoomScaleNormal="100" workbookViewId="0">
      <pane xSplit="1" ySplit="4" topLeftCell="B5" activePane="bottomRight" state="frozen"/>
      <selection pane="topRight" activeCell="B1" sqref="B1"/>
      <selection pane="bottomLeft" activeCell="A5" sqref="A5"/>
      <selection pane="bottomRight"/>
    </sheetView>
  </sheetViews>
  <sheetFormatPr defaultColWidth="8.6640625" defaultRowHeight="14.4" x14ac:dyDescent="0.3"/>
  <cols>
    <col min="1" max="1" width="4" customWidth="1"/>
    <col min="2" max="2" width="35" customWidth="1"/>
    <col min="3" max="4" width="18" customWidth="1"/>
    <col min="5" max="5" width="36.5546875" bestFit="1" customWidth="1"/>
    <col min="6" max="6" width="37.88671875" bestFit="1" customWidth="1"/>
  </cols>
  <sheetData>
    <row r="1" spans="2:6" ht="7.5" customHeight="1" x14ac:dyDescent="0.3"/>
    <row r="2" spans="2:6" ht="39.75" customHeight="1" x14ac:dyDescent="0.3">
      <c r="B2" s="60" t="s">
        <v>39</v>
      </c>
      <c r="C2" s="60"/>
      <c r="D2" s="60"/>
      <c r="E2" s="60"/>
      <c r="F2" s="60"/>
    </row>
    <row r="3" spans="2:6" ht="7.5" customHeight="1" x14ac:dyDescent="0.3"/>
    <row r="4" spans="2:6" ht="15" customHeight="1" x14ac:dyDescent="0.3">
      <c r="B4" s="61" t="s">
        <v>40</v>
      </c>
      <c r="C4" s="61"/>
      <c r="D4" s="61"/>
      <c r="E4" s="61"/>
      <c r="F4" s="61"/>
    </row>
    <row r="5" spans="2:6" ht="19.5" customHeight="1" x14ac:dyDescent="0.3">
      <c r="B5" s="9" t="s">
        <v>41</v>
      </c>
      <c r="C5" s="9" t="s">
        <v>42</v>
      </c>
      <c r="D5" s="9" t="s">
        <v>43</v>
      </c>
      <c r="E5" s="9" t="s">
        <v>44</v>
      </c>
    </row>
    <row r="6" spans="2:6" ht="18" customHeight="1" x14ac:dyDescent="0.3">
      <c r="B6" s="11" t="s">
        <v>45</v>
      </c>
      <c r="C6" s="12" t="s">
        <v>46</v>
      </c>
      <c r="D6" s="5" t="s">
        <v>47</v>
      </c>
      <c r="E6" s="5" t="s">
        <v>48</v>
      </c>
    </row>
    <row r="7" spans="2:6" ht="18" customHeight="1" x14ac:dyDescent="0.3">
      <c r="B7" s="11" t="s">
        <v>49</v>
      </c>
      <c r="C7" s="13">
        <v>0.04</v>
      </c>
      <c r="D7" s="5" t="s">
        <v>50</v>
      </c>
      <c r="E7" s="5" t="s">
        <v>51</v>
      </c>
    </row>
    <row r="8" spans="2:6" ht="18" customHeight="1" x14ac:dyDescent="0.3">
      <c r="B8" s="11" t="s">
        <v>52</v>
      </c>
      <c r="C8" s="13">
        <v>3.5000000000000003E-2</v>
      </c>
      <c r="D8" s="5" t="s">
        <v>50</v>
      </c>
      <c r="E8" s="5" t="s">
        <v>53</v>
      </c>
    </row>
    <row r="9" spans="2:6" ht="18" customHeight="1" x14ac:dyDescent="0.3">
      <c r="B9" s="11" t="s">
        <v>54</v>
      </c>
      <c r="C9" s="13">
        <v>0.06</v>
      </c>
      <c r="D9" s="5" t="s">
        <v>50</v>
      </c>
      <c r="E9" s="5" t="s">
        <v>55</v>
      </c>
    </row>
    <row r="10" spans="2:6" ht="18" customHeight="1" x14ac:dyDescent="0.3">
      <c r="B10" s="11" t="s">
        <v>56</v>
      </c>
      <c r="C10" s="13">
        <v>0.04</v>
      </c>
      <c r="D10" s="5" t="s">
        <v>50</v>
      </c>
      <c r="E10" s="5" t="s">
        <v>57</v>
      </c>
    </row>
    <row r="11" spans="2:6" ht="18" customHeight="1" x14ac:dyDescent="0.3">
      <c r="B11" s="11" t="s">
        <v>58</v>
      </c>
      <c r="C11" s="12" t="s">
        <v>59</v>
      </c>
      <c r="D11" s="5" t="s">
        <v>8</v>
      </c>
      <c r="E11" s="5" t="s">
        <v>60</v>
      </c>
    </row>
    <row r="12" spans="2:6" ht="18" customHeight="1" x14ac:dyDescent="0.3">
      <c r="B12" s="11" t="s">
        <v>61</v>
      </c>
      <c r="C12" s="13">
        <v>0.05</v>
      </c>
      <c r="D12" s="5" t="s">
        <v>50</v>
      </c>
      <c r="E12" s="5" t="s">
        <v>62</v>
      </c>
    </row>
    <row r="14" spans="2:6" ht="15" customHeight="1" x14ac:dyDescent="0.3">
      <c r="B14" s="61" t="s">
        <v>63</v>
      </c>
      <c r="C14" s="61"/>
      <c r="D14" s="61"/>
      <c r="E14" s="61"/>
      <c r="F14" s="61"/>
    </row>
    <row r="15" spans="2:6" ht="19.5" customHeight="1" x14ac:dyDescent="0.3">
      <c r="B15" s="9" t="s">
        <v>64</v>
      </c>
      <c r="C15" s="9" t="s">
        <v>65</v>
      </c>
      <c r="D15" s="9" t="s">
        <v>66</v>
      </c>
      <c r="E15" s="9" t="s">
        <v>67</v>
      </c>
      <c r="F15" s="9" t="s">
        <v>68</v>
      </c>
    </row>
    <row r="16" spans="2:6" ht="18" customHeight="1" x14ac:dyDescent="0.3">
      <c r="B16" s="11" t="s">
        <v>69</v>
      </c>
      <c r="C16" s="14">
        <v>2.5</v>
      </c>
      <c r="D16" s="14">
        <v>3.2</v>
      </c>
      <c r="E16" s="14">
        <v>4.0999999999999996</v>
      </c>
      <c r="F16" s="14">
        <v>5.5</v>
      </c>
    </row>
    <row r="17" spans="2:6" ht="18" customHeight="1" x14ac:dyDescent="0.3">
      <c r="B17" s="11" t="s">
        <v>70</v>
      </c>
      <c r="C17" s="14">
        <v>1.45</v>
      </c>
      <c r="D17" s="14">
        <v>1.8</v>
      </c>
      <c r="E17" s="14">
        <v>2.2000000000000002</v>
      </c>
      <c r="F17" s="14">
        <v>3.1</v>
      </c>
    </row>
    <row r="18" spans="2:6" ht="18" customHeight="1" x14ac:dyDescent="0.3">
      <c r="B18" s="11" t="s">
        <v>71</v>
      </c>
      <c r="C18" s="14">
        <v>1.18</v>
      </c>
      <c r="D18" s="14">
        <v>1.35</v>
      </c>
      <c r="E18" s="14">
        <v>1.55</v>
      </c>
      <c r="F18" s="14">
        <v>2</v>
      </c>
    </row>
    <row r="19" spans="2:6" ht="18" customHeight="1" x14ac:dyDescent="0.3">
      <c r="B19" s="11" t="s">
        <v>72</v>
      </c>
      <c r="C19" s="14">
        <v>1.08</v>
      </c>
      <c r="D19" s="14">
        <v>1.1499999999999999</v>
      </c>
      <c r="E19" s="14">
        <v>1.25</v>
      </c>
      <c r="F19" s="14">
        <v>1.45</v>
      </c>
    </row>
    <row r="20" spans="2:6" ht="18" customHeight="1" x14ac:dyDescent="0.3">
      <c r="B20" s="11" t="s">
        <v>73</v>
      </c>
      <c r="C20" s="14">
        <v>1.03</v>
      </c>
      <c r="D20" s="14">
        <v>1.06</v>
      </c>
      <c r="E20" s="14">
        <v>1.1000000000000001</v>
      </c>
      <c r="F20" s="14">
        <v>1.2</v>
      </c>
    </row>
    <row r="21" spans="2:6" ht="18" customHeight="1" x14ac:dyDescent="0.3">
      <c r="B21" s="11" t="s">
        <v>74</v>
      </c>
      <c r="C21" s="14">
        <v>1.01</v>
      </c>
      <c r="D21" s="14">
        <v>1.02</v>
      </c>
      <c r="E21" s="14">
        <v>1.04</v>
      </c>
      <c r="F21" s="14">
        <v>1.08</v>
      </c>
    </row>
    <row r="23" spans="2:6" ht="15" customHeight="1" x14ac:dyDescent="0.3">
      <c r="B23" s="61" t="s">
        <v>75</v>
      </c>
      <c r="C23" s="61"/>
      <c r="D23" s="61"/>
      <c r="E23" s="61"/>
      <c r="F23" s="61"/>
    </row>
    <row r="24" spans="2:6" ht="19.5" customHeight="1" x14ac:dyDescent="0.3">
      <c r="B24" s="9" t="s">
        <v>41</v>
      </c>
      <c r="C24" s="9" t="s">
        <v>76</v>
      </c>
      <c r="D24" s="9" t="s">
        <v>77</v>
      </c>
      <c r="E24" s="9" t="s">
        <v>43</v>
      </c>
      <c r="F24" s="9" t="s">
        <v>44</v>
      </c>
    </row>
    <row r="25" spans="2:6" ht="18" customHeight="1" x14ac:dyDescent="0.3">
      <c r="B25" s="11" t="s">
        <v>78</v>
      </c>
      <c r="C25" s="13">
        <v>0.25</v>
      </c>
      <c r="D25" s="13">
        <v>0.12</v>
      </c>
      <c r="E25" s="5" t="s">
        <v>50</v>
      </c>
      <c r="F25" s="5" t="s">
        <v>79</v>
      </c>
    </row>
    <row r="26" spans="2:6" ht="18" customHeight="1" x14ac:dyDescent="0.3">
      <c r="B26" s="11" t="s">
        <v>80</v>
      </c>
      <c r="C26" s="13">
        <v>0.03</v>
      </c>
      <c r="D26" s="13">
        <v>0.08</v>
      </c>
      <c r="E26" s="5" t="s">
        <v>50</v>
      </c>
      <c r="F26" s="5" t="s">
        <v>81</v>
      </c>
    </row>
    <row r="27" spans="2:6" ht="18" customHeight="1" x14ac:dyDescent="0.3">
      <c r="B27" s="11" t="s">
        <v>82</v>
      </c>
      <c r="C27" s="12">
        <v>10</v>
      </c>
      <c r="D27" s="12">
        <v>25</v>
      </c>
      <c r="E27" s="5" t="s">
        <v>83</v>
      </c>
      <c r="F27" s="5" t="s">
        <v>84</v>
      </c>
    </row>
    <row r="28" spans="2:6" ht="18" customHeight="1" x14ac:dyDescent="0.3">
      <c r="B28" s="11" t="s">
        <v>85</v>
      </c>
      <c r="C28" s="12">
        <v>45</v>
      </c>
      <c r="D28" s="12">
        <v>72</v>
      </c>
      <c r="E28" s="5" t="s">
        <v>83</v>
      </c>
      <c r="F28" s="5" t="s">
        <v>86</v>
      </c>
    </row>
    <row r="29" spans="2:6" ht="18" customHeight="1" x14ac:dyDescent="0.3">
      <c r="B29" s="11" t="s">
        <v>87</v>
      </c>
      <c r="C29" s="12">
        <v>26</v>
      </c>
      <c r="D29" s="12">
        <v>0</v>
      </c>
      <c r="E29" s="5" t="s">
        <v>88</v>
      </c>
      <c r="F29" s="5" t="s">
        <v>89</v>
      </c>
    </row>
    <row r="31" spans="2:6" ht="15" customHeight="1" x14ac:dyDescent="0.3">
      <c r="B31" s="61" t="s">
        <v>90</v>
      </c>
      <c r="C31" s="61"/>
      <c r="D31" s="61"/>
      <c r="E31" s="61"/>
      <c r="F31" s="61"/>
    </row>
    <row r="32" spans="2:6" ht="19.5" customHeight="1" x14ac:dyDescent="0.3">
      <c r="B32" s="9" t="s">
        <v>41</v>
      </c>
      <c r="C32" s="9" t="s">
        <v>91</v>
      </c>
      <c r="D32" s="9" t="s">
        <v>92</v>
      </c>
      <c r="E32" s="9" t="s">
        <v>76</v>
      </c>
      <c r="F32" s="9" t="s">
        <v>77</v>
      </c>
    </row>
    <row r="33" spans="2:6" ht="18" customHeight="1" x14ac:dyDescent="0.3">
      <c r="B33" s="11" t="s">
        <v>93</v>
      </c>
      <c r="C33" s="13">
        <v>0.05</v>
      </c>
      <c r="D33" s="13">
        <v>0.08</v>
      </c>
      <c r="E33" s="13">
        <v>0.1</v>
      </c>
      <c r="F33" s="13">
        <v>0.12</v>
      </c>
    </row>
    <row r="34" spans="2:6" ht="18" customHeight="1" x14ac:dyDescent="0.3">
      <c r="B34" s="11" t="s">
        <v>94</v>
      </c>
      <c r="C34" s="13">
        <v>0.02</v>
      </c>
      <c r="D34" s="13">
        <v>1.4999999999999999E-2</v>
      </c>
      <c r="E34" s="13">
        <v>2.5000000000000001E-2</v>
      </c>
      <c r="F34" s="13">
        <v>0.01</v>
      </c>
    </row>
    <row r="35" spans="2:6" ht="18" customHeight="1" x14ac:dyDescent="0.3">
      <c r="B35" s="11" t="s">
        <v>95</v>
      </c>
      <c r="C35" s="15">
        <v>1500</v>
      </c>
      <c r="D35" s="15">
        <v>25000</v>
      </c>
      <c r="E35" s="15">
        <v>8000</v>
      </c>
      <c r="F35" s="15">
        <v>12000</v>
      </c>
    </row>
    <row r="37" spans="2:6" ht="18.75" customHeight="1" x14ac:dyDescent="0.3">
      <c r="B37" s="57" t="s">
        <v>96</v>
      </c>
      <c r="C37" s="57"/>
      <c r="D37" s="57"/>
      <c r="E37" s="57"/>
      <c r="F37" s="57"/>
    </row>
  </sheetData>
  <mergeCells count="6">
    <mergeCell ref="B37:F37"/>
    <mergeCell ref="B2:F2"/>
    <mergeCell ref="B4:F4"/>
    <mergeCell ref="B14:F14"/>
    <mergeCell ref="B23:F23"/>
    <mergeCell ref="B31:F31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K80"/>
  <sheetViews>
    <sheetView showGridLines="0" zoomScaleNormal="100"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C60" sqref="C60"/>
    </sheetView>
  </sheetViews>
  <sheetFormatPr defaultColWidth="8.6640625" defaultRowHeight="14.4" x14ac:dyDescent="0.3"/>
  <cols>
    <col min="1" max="1" width="3" customWidth="1"/>
    <col min="2" max="2" width="38" customWidth="1"/>
    <col min="3" max="3" width="16.44140625" bestFit="1" customWidth="1"/>
    <col min="4" max="4" width="14.5546875" customWidth="1"/>
    <col min="5" max="5" width="14.77734375" bestFit="1" customWidth="1"/>
    <col min="6" max="6" width="12.5546875" bestFit="1" customWidth="1"/>
    <col min="7" max="7" width="14.88671875" bestFit="1" customWidth="1"/>
    <col min="8" max="8" width="7.77734375" bestFit="1" customWidth="1"/>
    <col min="9" max="11" width="18" customWidth="1"/>
  </cols>
  <sheetData>
    <row r="1" spans="2:11" ht="7.5" customHeight="1" x14ac:dyDescent="0.3"/>
    <row r="2" spans="2:11" ht="42" customHeight="1" x14ac:dyDescent="0.3">
      <c r="B2" s="60" t="s">
        <v>97</v>
      </c>
      <c r="C2" s="60"/>
      <c r="D2" s="60"/>
      <c r="E2" s="60"/>
      <c r="F2" s="60"/>
      <c r="G2" s="60"/>
      <c r="H2" s="60"/>
      <c r="I2" s="60"/>
      <c r="J2" s="60"/>
      <c r="K2" s="60"/>
    </row>
    <row r="3" spans="2:11" ht="7.5" customHeight="1" x14ac:dyDescent="0.3"/>
    <row r="4" spans="2:11" ht="15" customHeight="1" x14ac:dyDescent="0.3">
      <c r="B4" s="57" t="s">
        <v>98</v>
      </c>
      <c r="C4" s="57"/>
      <c r="D4" s="57"/>
      <c r="E4" s="57"/>
      <c r="F4" s="57"/>
      <c r="G4" s="57"/>
      <c r="H4" s="57"/>
      <c r="I4" s="57"/>
      <c r="J4" s="57"/>
      <c r="K4" s="57"/>
    </row>
    <row r="5" spans="2:11" ht="7.5" customHeight="1" x14ac:dyDescent="0.3"/>
    <row r="6" spans="2:11" ht="15" customHeight="1" x14ac:dyDescent="0.3">
      <c r="B6" s="61" t="s">
        <v>99</v>
      </c>
      <c r="C6" s="61"/>
      <c r="D6" s="61"/>
      <c r="E6" s="61"/>
      <c r="F6" s="61"/>
      <c r="G6" s="61"/>
      <c r="H6" s="61"/>
      <c r="I6" s="61"/>
      <c r="J6" s="61"/>
      <c r="K6" s="61"/>
    </row>
    <row r="7" spans="2:11" ht="15" customHeight="1" x14ac:dyDescent="0.3">
      <c r="B7" s="57" t="s">
        <v>100</v>
      </c>
      <c r="C7" s="57"/>
      <c r="D7" s="57"/>
      <c r="E7" s="57"/>
      <c r="F7" s="57"/>
      <c r="G7" s="57"/>
      <c r="H7" s="57"/>
      <c r="I7" s="57"/>
      <c r="J7" s="57"/>
      <c r="K7" s="57"/>
    </row>
    <row r="8" spans="2:11" ht="30" customHeight="1" x14ac:dyDescent="0.3">
      <c r="B8" s="16" t="s">
        <v>101</v>
      </c>
      <c r="C8" s="16" t="s">
        <v>102</v>
      </c>
      <c r="D8" s="16" t="s">
        <v>103</v>
      </c>
      <c r="E8" s="16" t="s">
        <v>104</v>
      </c>
      <c r="F8" s="16" t="s">
        <v>105</v>
      </c>
      <c r="G8" s="16" t="s">
        <v>106</v>
      </c>
      <c r="H8" s="16" t="s">
        <v>107</v>
      </c>
    </row>
    <row r="9" spans="2:11" ht="18" customHeight="1" x14ac:dyDescent="0.3">
      <c r="B9" s="11" t="s">
        <v>108</v>
      </c>
      <c r="C9" s="17">
        <v>1200</v>
      </c>
      <c r="D9" s="13">
        <v>0.15</v>
      </c>
      <c r="E9" s="18">
        <f>C9*(1-D9)</f>
        <v>1020</v>
      </c>
      <c r="F9" s="15">
        <v>180</v>
      </c>
      <c r="G9" s="19">
        <f>365-F9</f>
        <v>185</v>
      </c>
      <c r="H9" s="20">
        <f>E9*(G9/365)</f>
        <v>516.98630136986299</v>
      </c>
    </row>
    <row r="10" spans="2:11" ht="18" customHeight="1" x14ac:dyDescent="0.3">
      <c r="B10" s="11" t="s">
        <v>109</v>
      </c>
      <c r="C10" s="17">
        <v>2400</v>
      </c>
      <c r="D10" s="13">
        <v>0.1</v>
      </c>
      <c r="E10" s="18">
        <f>C10*(1-D10)</f>
        <v>2160</v>
      </c>
      <c r="F10" s="15">
        <v>90</v>
      </c>
      <c r="G10" s="19">
        <f>365-F10</f>
        <v>275</v>
      </c>
      <c r="H10" s="20">
        <f>E10*(G10/365)</f>
        <v>1627.3972602739727</v>
      </c>
    </row>
    <row r="11" spans="2:11" ht="18" customHeight="1" x14ac:dyDescent="0.3">
      <c r="B11" s="11" t="s">
        <v>110</v>
      </c>
      <c r="C11" s="17">
        <v>600</v>
      </c>
      <c r="D11" s="13">
        <v>0.12</v>
      </c>
      <c r="E11" s="18">
        <f>C11*(1-D11)</f>
        <v>528</v>
      </c>
      <c r="F11" s="15">
        <v>270</v>
      </c>
      <c r="G11" s="19">
        <f>365-F11</f>
        <v>95</v>
      </c>
      <c r="H11" s="20">
        <f>E11*(G11/365)</f>
        <v>137.42465753424656</v>
      </c>
    </row>
    <row r="12" spans="2:11" ht="18" customHeight="1" x14ac:dyDescent="0.3">
      <c r="B12" s="11" t="s">
        <v>111</v>
      </c>
      <c r="C12" s="17">
        <v>3600</v>
      </c>
      <c r="D12" s="13">
        <v>0.08</v>
      </c>
      <c r="E12" s="18">
        <f>C12*(1-D12)</f>
        <v>3312</v>
      </c>
      <c r="F12" s="15">
        <v>45</v>
      </c>
      <c r="G12" s="19">
        <f>365-F12</f>
        <v>320</v>
      </c>
      <c r="H12" s="20">
        <f>E12*(G12/365)</f>
        <v>2903.6712328767121</v>
      </c>
    </row>
    <row r="13" spans="2:11" ht="18" customHeight="1" x14ac:dyDescent="0.3">
      <c r="B13" s="11" t="s">
        <v>112</v>
      </c>
      <c r="C13" s="17">
        <v>800</v>
      </c>
      <c r="D13" s="13">
        <v>0.15</v>
      </c>
      <c r="E13" s="18">
        <f>C13*(1-D13)</f>
        <v>680</v>
      </c>
      <c r="F13" s="15">
        <v>200</v>
      </c>
      <c r="G13" s="19">
        <f>365-F13</f>
        <v>165</v>
      </c>
      <c r="H13" s="20">
        <f>E13*(G13/365)</f>
        <v>307.39726027397256</v>
      </c>
    </row>
    <row r="14" spans="2:11" ht="19.5" customHeight="1" x14ac:dyDescent="0.3">
      <c r="B14" s="21" t="s">
        <v>113</v>
      </c>
      <c r="H14" s="22">
        <f>SUM(H9:H13)</f>
        <v>5492.8767123287671</v>
      </c>
    </row>
    <row r="16" spans="2:11" ht="15" customHeight="1" x14ac:dyDescent="0.3">
      <c r="B16" s="61" t="s">
        <v>114</v>
      </c>
      <c r="C16" s="61"/>
      <c r="D16" s="61"/>
      <c r="E16" s="61"/>
      <c r="F16" s="61"/>
      <c r="G16" s="61"/>
      <c r="H16" s="61"/>
      <c r="I16" s="61"/>
      <c r="J16" s="61"/>
      <c r="K16" s="61"/>
    </row>
    <row r="17" spans="2:11" ht="15" customHeight="1" x14ac:dyDescent="0.3">
      <c r="B17" s="57" t="s">
        <v>115</v>
      </c>
      <c r="C17" s="57"/>
      <c r="D17" s="57"/>
      <c r="E17" s="57"/>
      <c r="F17" s="57"/>
      <c r="G17" s="57"/>
      <c r="H17" s="57"/>
      <c r="I17" s="57"/>
      <c r="J17" s="57"/>
      <c r="K17" s="57"/>
    </row>
    <row r="18" spans="2:11" ht="19.5" customHeight="1" x14ac:dyDescent="0.3">
      <c r="B18" s="9" t="s">
        <v>41</v>
      </c>
      <c r="C18" s="9" t="s">
        <v>42</v>
      </c>
      <c r="D18" s="9" t="s">
        <v>116</v>
      </c>
    </row>
    <row r="19" spans="2:11" ht="15" customHeight="1" x14ac:dyDescent="0.3">
      <c r="B19" s="11" t="s">
        <v>117</v>
      </c>
      <c r="C19" s="23">
        <f>H14</f>
        <v>5492.8767123287671</v>
      </c>
      <c r="D19" s="5" t="s">
        <v>118</v>
      </c>
    </row>
    <row r="20" spans="2:11" ht="15" customHeight="1" x14ac:dyDescent="0.3">
      <c r="B20" s="11" t="s">
        <v>119</v>
      </c>
      <c r="C20" s="13">
        <v>0.72</v>
      </c>
      <c r="D20" s="5" t="s">
        <v>120</v>
      </c>
    </row>
    <row r="21" spans="2:11" ht="15" customHeight="1" x14ac:dyDescent="0.3">
      <c r="B21" s="11" t="s">
        <v>121</v>
      </c>
      <c r="C21" s="20">
        <f>C20*C19</f>
        <v>3954.8712328767124</v>
      </c>
    </row>
    <row r="22" spans="2:11" ht="15" customHeight="1" x14ac:dyDescent="0.3">
      <c r="B22" s="11" t="s">
        <v>122</v>
      </c>
      <c r="C22" s="22">
        <f>MAX(0,C21-C19)</f>
        <v>0</v>
      </c>
    </row>
    <row r="24" spans="2:11" ht="15" customHeight="1" x14ac:dyDescent="0.3">
      <c r="B24" s="61" t="s">
        <v>123</v>
      </c>
      <c r="C24" s="61"/>
      <c r="D24" s="61"/>
      <c r="E24" s="61"/>
      <c r="F24" s="61"/>
      <c r="G24" s="61"/>
      <c r="H24" s="61"/>
      <c r="I24" s="61"/>
      <c r="J24" s="61"/>
      <c r="K24" s="61"/>
    </row>
    <row r="25" spans="2:11" ht="15" customHeight="1" x14ac:dyDescent="0.3">
      <c r="B25" s="57" t="s">
        <v>124</v>
      </c>
      <c r="C25" s="57"/>
      <c r="D25" s="57"/>
      <c r="E25" s="57"/>
      <c r="F25" s="57"/>
      <c r="G25" s="57"/>
      <c r="H25" s="57"/>
      <c r="I25" s="57"/>
      <c r="J25" s="57"/>
      <c r="K25" s="57"/>
    </row>
    <row r="26" spans="2:11" ht="15" customHeight="1" x14ac:dyDescent="0.3">
      <c r="B26" s="63" t="s">
        <v>125</v>
      </c>
      <c r="C26" s="63"/>
      <c r="D26" s="63"/>
      <c r="E26" s="63"/>
      <c r="F26" s="63"/>
      <c r="G26" s="63"/>
      <c r="H26" s="63"/>
      <c r="I26" s="63"/>
      <c r="J26" s="63"/>
    </row>
    <row r="27" spans="2:11" ht="15" customHeight="1" x14ac:dyDescent="0.3">
      <c r="B27" s="57" t="s">
        <v>126</v>
      </c>
      <c r="C27" s="57"/>
      <c r="D27" s="57"/>
      <c r="E27" s="57"/>
      <c r="F27" s="57"/>
      <c r="G27" s="57"/>
      <c r="H27" s="57"/>
      <c r="I27" s="57"/>
      <c r="J27" s="57"/>
    </row>
    <row r="28" spans="2:11" ht="19.5" customHeight="1" x14ac:dyDescent="0.3">
      <c r="B28" s="24" t="s">
        <v>127</v>
      </c>
      <c r="C28" s="25" t="s">
        <v>128</v>
      </c>
      <c r="D28" s="25" t="s">
        <v>129</v>
      </c>
      <c r="E28" s="25" t="s">
        <v>130</v>
      </c>
      <c r="F28" s="25" t="s">
        <v>131</v>
      </c>
      <c r="G28" s="25" t="s">
        <v>132</v>
      </c>
      <c r="H28" s="25" t="s">
        <v>133</v>
      </c>
      <c r="I28" s="26" t="s">
        <v>134</v>
      </c>
      <c r="J28" s="26" t="s">
        <v>135</v>
      </c>
      <c r="K28" s="26" t="s">
        <v>136</v>
      </c>
    </row>
    <row r="29" spans="2:11" ht="18" customHeight="1" x14ac:dyDescent="0.3">
      <c r="B29" s="11" t="s">
        <v>137</v>
      </c>
      <c r="C29" s="15">
        <v>820</v>
      </c>
      <c r="D29" s="15">
        <v>1190</v>
      </c>
      <c r="E29" s="15">
        <v>1370</v>
      </c>
      <c r="F29" s="15">
        <v>1450</v>
      </c>
      <c r="G29" s="15">
        <v>1480</v>
      </c>
      <c r="H29" s="15">
        <v>1495</v>
      </c>
      <c r="I29" s="18">
        <f>H29</f>
        <v>1495</v>
      </c>
      <c r="J29" s="27">
        <f t="shared" ref="J29:J34" si="0">H29</f>
        <v>1495</v>
      </c>
      <c r="K29" s="20">
        <f t="shared" ref="K29:K34" si="1">J29-I29</f>
        <v>0</v>
      </c>
    </row>
    <row r="30" spans="2:11" ht="18" customHeight="1" x14ac:dyDescent="0.3">
      <c r="B30" s="11" t="s">
        <v>138</v>
      </c>
      <c r="C30" s="15">
        <v>750</v>
      </c>
      <c r="D30" s="15">
        <v>1090</v>
      </c>
      <c r="E30" s="15">
        <v>1255</v>
      </c>
      <c r="F30" s="15">
        <v>1330</v>
      </c>
      <c r="G30" s="15">
        <v>1360</v>
      </c>
      <c r="H30" s="28">
        <f>G30*H35</f>
        <v>1373.6</v>
      </c>
      <c r="I30" s="18">
        <f>G30</f>
        <v>1360</v>
      </c>
      <c r="J30" s="27">
        <f t="shared" si="0"/>
        <v>1373.6</v>
      </c>
      <c r="K30" s="20">
        <f t="shared" si="1"/>
        <v>13.599999999999909</v>
      </c>
    </row>
    <row r="31" spans="2:11" ht="18" customHeight="1" x14ac:dyDescent="0.3">
      <c r="B31" s="11" t="s">
        <v>139</v>
      </c>
      <c r="C31" s="15">
        <v>880</v>
      </c>
      <c r="D31" s="15">
        <v>1276</v>
      </c>
      <c r="E31" s="15">
        <v>1468</v>
      </c>
      <c r="F31" s="15">
        <v>1556</v>
      </c>
      <c r="G31" s="28">
        <f>F31*G35</f>
        <v>1602.68</v>
      </c>
      <c r="H31" s="28">
        <f>G31*H35</f>
        <v>1618.7068000000002</v>
      </c>
      <c r="I31" s="18">
        <f>F31</f>
        <v>1556</v>
      </c>
      <c r="J31" s="27">
        <f t="shared" si="0"/>
        <v>1618.7068000000002</v>
      </c>
      <c r="K31" s="20">
        <f t="shared" si="1"/>
        <v>62.706800000000158</v>
      </c>
    </row>
    <row r="32" spans="2:11" ht="18" customHeight="1" x14ac:dyDescent="0.3">
      <c r="B32" s="11" t="s">
        <v>140</v>
      </c>
      <c r="C32" s="15">
        <v>960</v>
      </c>
      <c r="D32" s="15">
        <v>1392</v>
      </c>
      <c r="E32" s="15">
        <v>1602</v>
      </c>
      <c r="F32" s="28">
        <f>E32*F35</f>
        <v>1730.16</v>
      </c>
      <c r="G32" s="28">
        <f>F32*G35</f>
        <v>1782.0648000000001</v>
      </c>
      <c r="H32" s="28">
        <f>G32*H35</f>
        <v>1799.8854480000002</v>
      </c>
      <c r="I32" s="18">
        <f>E32</f>
        <v>1602</v>
      </c>
      <c r="J32" s="27">
        <f t="shared" si="0"/>
        <v>1799.8854480000002</v>
      </c>
      <c r="K32" s="20">
        <f t="shared" si="1"/>
        <v>197.88544800000022</v>
      </c>
    </row>
    <row r="33" spans="2:11" ht="18" customHeight="1" x14ac:dyDescent="0.3">
      <c r="B33" s="11" t="s">
        <v>141</v>
      </c>
      <c r="C33" s="15">
        <v>1050</v>
      </c>
      <c r="D33" s="15">
        <v>1523</v>
      </c>
      <c r="E33" s="28">
        <f>D33*E35</f>
        <v>1797.1399999999999</v>
      </c>
      <c r="F33" s="28">
        <f>E33*F35</f>
        <v>1940.9112</v>
      </c>
      <c r="G33" s="28">
        <f>F33*G35</f>
        <v>1999.1385360000002</v>
      </c>
      <c r="H33" s="28">
        <f>G33*H35</f>
        <v>2019.1299213600003</v>
      </c>
      <c r="I33" s="18">
        <f>D33</f>
        <v>1523</v>
      </c>
      <c r="J33" s="27">
        <f t="shared" si="0"/>
        <v>2019.1299213600003</v>
      </c>
      <c r="K33" s="20">
        <f t="shared" si="1"/>
        <v>496.12992136000025</v>
      </c>
    </row>
    <row r="34" spans="2:11" ht="18" customHeight="1" x14ac:dyDescent="0.3">
      <c r="B34" s="11" t="s">
        <v>142</v>
      </c>
      <c r="C34" s="15">
        <v>1180</v>
      </c>
      <c r="D34" s="28">
        <f>C34*D35</f>
        <v>1711</v>
      </c>
      <c r="E34" s="28">
        <f>D34*E35</f>
        <v>2018.9799999999998</v>
      </c>
      <c r="F34" s="28">
        <f>E34*F35</f>
        <v>2180.4983999999999</v>
      </c>
      <c r="G34" s="28">
        <f>F34*G35</f>
        <v>2245.913352</v>
      </c>
      <c r="H34" s="28">
        <f>G34*H35</f>
        <v>2268.3724855199998</v>
      </c>
      <c r="I34" s="18">
        <f>C34</f>
        <v>1180</v>
      </c>
      <c r="J34" s="27">
        <f t="shared" si="0"/>
        <v>2268.3724855199998</v>
      </c>
      <c r="K34" s="20">
        <f t="shared" si="1"/>
        <v>1088.3724855199998</v>
      </c>
    </row>
    <row r="35" spans="2:11" ht="18" customHeight="1" x14ac:dyDescent="0.3">
      <c r="B35" s="29" t="s">
        <v>143</v>
      </c>
      <c r="C35" s="30">
        <f>'⚙️ Assumptions'!C16</f>
        <v>2.5</v>
      </c>
      <c r="D35" s="30">
        <f>'⚙️ Assumptions'!C17</f>
        <v>1.45</v>
      </c>
      <c r="E35" s="30">
        <f>'⚙️ Assumptions'!C18</f>
        <v>1.18</v>
      </c>
      <c r="F35" s="30">
        <f>'⚙️ Assumptions'!C19</f>
        <v>1.08</v>
      </c>
      <c r="G35" s="30">
        <f>'⚙️ Assumptions'!C20</f>
        <v>1.03</v>
      </c>
      <c r="H35" s="30">
        <f>'⚙️ Assumptions'!C21</f>
        <v>1.01</v>
      </c>
    </row>
    <row r="36" spans="2:11" ht="19.5" customHeight="1" x14ac:dyDescent="0.3">
      <c r="B36" s="21" t="s">
        <v>144</v>
      </c>
      <c r="K36" s="22">
        <f>SUM(K29:K34)</f>
        <v>1858.6946548800004</v>
      </c>
    </row>
    <row r="38" spans="2:11" ht="15" customHeight="1" x14ac:dyDescent="0.3">
      <c r="B38" s="61" t="s">
        <v>145</v>
      </c>
      <c r="C38" s="61"/>
      <c r="D38" s="61"/>
      <c r="E38" s="61"/>
      <c r="F38" s="61"/>
      <c r="G38" s="61"/>
      <c r="H38" s="61"/>
      <c r="I38" s="61"/>
      <c r="J38" s="61"/>
      <c r="K38" s="61"/>
    </row>
    <row r="39" spans="2:11" ht="15" customHeight="1" x14ac:dyDescent="0.3">
      <c r="B39" s="57" t="s">
        <v>146</v>
      </c>
      <c r="C39" s="57"/>
      <c r="D39" s="57"/>
      <c r="E39" s="57"/>
      <c r="F39" s="57"/>
      <c r="G39" s="57"/>
      <c r="H39" s="57"/>
      <c r="I39" s="57"/>
      <c r="J39" s="57"/>
      <c r="K39" s="57"/>
    </row>
    <row r="40" spans="2:11" ht="19.5" customHeight="1" x14ac:dyDescent="0.3">
      <c r="B40" s="9" t="s">
        <v>41</v>
      </c>
      <c r="C40" s="9" t="s">
        <v>42</v>
      </c>
      <c r="D40" s="9" t="s">
        <v>44</v>
      </c>
    </row>
    <row r="41" spans="2:11" ht="15" customHeight="1" x14ac:dyDescent="0.3">
      <c r="B41" s="11" t="s">
        <v>147</v>
      </c>
      <c r="C41" s="15">
        <v>12</v>
      </c>
      <c r="D41" s="5" t="s">
        <v>148</v>
      </c>
    </row>
    <row r="42" spans="2:11" ht="15" customHeight="1" x14ac:dyDescent="0.3">
      <c r="B42" s="11" t="s">
        <v>149</v>
      </c>
      <c r="C42" s="15">
        <v>2</v>
      </c>
      <c r="D42" s="5" t="s">
        <v>150</v>
      </c>
    </row>
    <row r="43" spans="2:11" ht="15" customHeight="1" x14ac:dyDescent="0.3">
      <c r="B43" s="11" t="s">
        <v>151</v>
      </c>
      <c r="C43" s="17">
        <v>1800</v>
      </c>
      <c r="D43" s="5" t="s">
        <v>152</v>
      </c>
    </row>
    <row r="44" spans="2:11" ht="15" customHeight="1" x14ac:dyDescent="0.3">
      <c r="B44" s="31" t="s">
        <v>153</v>
      </c>
      <c r="C44" s="22">
        <f>C41*C42*C43</f>
        <v>43200</v>
      </c>
    </row>
    <row r="46" spans="2:11" ht="15" customHeight="1" x14ac:dyDescent="0.3">
      <c r="B46" s="61" t="s">
        <v>154</v>
      </c>
      <c r="C46" s="61"/>
      <c r="D46" s="61"/>
      <c r="E46" s="61"/>
      <c r="F46" s="61"/>
      <c r="G46" s="61"/>
      <c r="H46" s="61"/>
      <c r="I46" s="61"/>
      <c r="J46" s="61"/>
      <c r="K46" s="61"/>
    </row>
    <row r="47" spans="2:11" ht="15" customHeight="1" x14ac:dyDescent="0.3">
      <c r="B47" s="57" t="s">
        <v>155</v>
      </c>
      <c r="C47" s="57"/>
      <c r="D47" s="57"/>
      <c r="E47" s="57"/>
      <c r="F47" s="57"/>
      <c r="G47" s="57"/>
      <c r="H47" s="57"/>
      <c r="I47" s="57"/>
      <c r="J47" s="57"/>
      <c r="K47" s="57"/>
    </row>
    <row r="48" spans="2:11" ht="19.5" customHeight="1" x14ac:dyDescent="0.3">
      <c r="B48" s="9" t="s">
        <v>156</v>
      </c>
      <c r="C48" s="9" t="s">
        <v>157</v>
      </c>
      <c r="D48" s="9" t="s">
        <v>158</v>
      </c>
      <c r="E48" s="9" t="s">
        <v>159</v>
      </c>
    </row>
    <row r="49" spans="2:11" ht="18" customHeight="1" x14ac:dyDescent="0.3">
      <c r="B49" s="11" t="s">
        <v>160</v>
      </c>
      <c r="C49" s="17">
        <v>4500</v>
      </c>
      <c r="D49" s="13">
        <v>0.4</v>
      </c>
      <c r="E49" s="20">
        <f>C49*(1-D49)</f>
        <v>2700</v>
      </c>
    </row>
    <row r="50" spans="2:11" ht="18" customHeight="1" x14ac:dyDescent="0.3">
      <c r="B50" s="11" t="s">
        <v>161</v>
      </c>
      <c r="C50" s="17">
        <v>12000</v>
      </c>
      <c r="D50" s="13">
        <v>0.1</v>
      </c>
      <c r="E50" s="20">
        <f>C50*(1-D50)</f>
        <v>10800</v>
      </c>
    </row>
    <row r="51" spans="2:11" ht="18" customHeight="1" x14ac:dyDescent="0.3">
      <c r="B51" s="11" t="s">
        <v>162</v>
      </c>
      <c r="C51" s="17">
        <v>2200</v>
      </c>
      <c r="D51" s="13">
        <v>0.8</v>
      </c>
      <c r="E51" s="20">
        <f>C51*(1-D51)</f>
        <v>439.99999999999989</v>
      </c>
    </row>
    <row r="52" spans="2:11" ht="18" customHeight="1" x14ac:dyDescent="0.3">
      <c r="B52" s="11" t="s">
        <v>163</v>
      </c>
      <c r="C52" s="17">
        <v>8500</v>
      </c>
      <c r="D52" s="13">
        <v>0.25</v>
      </c>
      <c r="E52" s="20">
        <f>C52*(1-D52)</f>
        <v>6375</v>
      </c>
    </row>
    <row r="53" spans="2:11" ht="18" customHeight="1" x14ac:dyDescent="0.3">
      <c r="B53" s="11" t="s">
        <v>164</v>
      </c>
      <c r="C53" s="17">
        <v>6000</v>
      </c>
      <c r="D53" s="13">
        <v>0.55000000000000004</v>
      </c>
      <c r="E53" s="20">
        <f>C53*(1-D53)</f>
        <v>2699.9999999999995</v>
      </c>
    </row>
    <row r="54" spans="2:11" ht="19.5" customHeight="1" x14ac:dyDescent="0.3">
      <c r="B54" s="21" t="s">
        <v>165</v>
      </c>
      <c r="E54" s="22">
        <f>SUM(E49:E53)</f>
        <v>23015</v>
      </c>
    </row>
    <row r="55" spans="2:11" ht="15" customHeight="1" x14ac:dyDescent="0.3"/>
    <row r="56" spans="2:11" ht="15" customHeight="1" x14ac:dyDescent="0.3">
      <c r="B56" s="1" t="s">
        <v>166</v>
      </c>
      <c r="C56" s="23">
        <f>E54</f>
        <v>23015</v>
      </c>
      <c r="D56" s="32" t="s">
        <v>167</v>
      </c>
    </row>
    <row r="57" spans="2:11" ht="51" x14ac:dyDescent="0.3">
      <c r="B57" s="2" t="s">
        <v>168</v>
      </c>
      <c r="C57" s="33">
        <f>C56*D56</f>
        <v>1150.75</v>
      </c>
    </row>
    <row r="58" spans="2:11" ht="19.5" customHeight="1" x14ac:dyDescent="0.3">
      <c r="B58" s="9" t="s">
        <v>41</v>
      </c>
      <c r="C58" s="9" t="s">
        <v>42</v>
      </c>
      <c r="D58" s="9" t="s">
        <v>44</v>
      </c>
    </row>
    <row r="59" spans="2:11" ht="15" customHeight="1" x14ac:dyDescent="0.3">
      <c r="B59" s="11" t="s">
        <v>169</v>
      </c>
      <c r="C59" s="34">
        <f>E54</f>
        <v>23015</v>
      </c>
      <c r="D59" s="5" t="s">
        <v>170</v>
      </c>
    </row>
    <row r="60" spans="2:11" ht="15" customHeight="1" x14ac:dyDescent="0.3">
      <c r="B60" s="11" t="s">
        <v>171</v>
      </c>
      <c r="C60" s="67">
        <f>'⚙️ Assumptions'!C35</f>
        <v>1500</v>
      </c>
      <c r="D60" s="5" t="s">
        <v>172</v>
      </c>
    </row>
    <row r="61" spans="2:11" ht="15" customHeight="1" x14ac:dyDescent="0.3">
      <c r="B61" s="31" t="s">
        <v>173</v>
      </c>
      <c r="C61" s="22">
        <f>C59*C60</f>
        <v>34522500</v>
      </c>
    </row>
    <row r="63" spans="2:11" ht="15" customHeight="1" x14ac:dyDescent="0.3">
      <c r="B63" s="1" t="s">
        <v>174</v>
      </c>
      <c r="C63" s="33">
        <f>C66*C67</f>
        <v>0</v>
      </c>
    </row>
    <row r="64" spans="2:11" ht="15" customHeight="1" x14ac:dyDescent="0.3">
      <c r="B64" s="57" t="s">
        <v>175</v>
      </c>
      <c r="C64" s="57"/>
      <c r="D64" s="57"/>
      <c r="E64" s="57"/>
      <c r="F64" s="57"/>
      <c r="G64" s="57"/>
      <c r="H64" s="57"/>
      <c r="I64" s="57"/>
      <c r="J64" s="57"/>
      <c r="K64" s="57"/>
    </row>
    <row r="65" spans="2:11" ht="19.5" customHeight="1" x14ac:dyDescent="0.3">
      <c r="B65" s="9" t="s">
        <v>41</v>
      </c>
      <c r="C65" s="9" t="s">
        <v>42</v>
      </c>
      <c r="D65" s="9" t="s">
        <v>44</v>
      </c>
    </row>
    <row r="66" spans="2:11" ht="15" customHeight="1" x14ac:dyDescent="0.3">
      <c r="B66" s="11" t="s">
        <v>176</v>
      </c>
      <c r="C66" s="17">
        <v>4500000</v>
      </c>
      <c r="D66" s="5" t="s">
        <v>177</v>
      </c>
    </row>
    <row r="67" spans="2:11" ht="15" customHeight="1" x14ac:dyDescent="0.3">
      <c r="B67" s="11" t="s">
        <v>178</v>
      </c>
      <c r="C67" s="35">
        <f>'⚙️ Assumptions'!C36</f>
        <v>0</v>
      </c>
      <c r="D67" s="5" t="s">
        <v>179</v>
      </c>
    </row>
    <row r="68" spans="2:11" ht="15" customHeight="1" x14ac:dyDescent="0.3">
      <c r="B68" s="11" t="s">
        <v>95</v>
      </c>
      <c r="C68" s="33">
        <f>C66*C67</f>
        <v>0</v>
      </c>
      <c r="D68" s="5" t="s">
        <v>180</v>
      </c>
    </row>
    <row r="69" spans="2:11" ht="15" customHeight="1" x14ac:dyDescent="0.3">
      <c r="B69" s="31" t="s">
        <v>181</v>
      </c>
      <c r="C69" s="33">
        <f>C66*C67</f>
        <v>0</v>
      </c>
    </row>
    <row r="71" spans="2:11" ht="15" customHeight="1" x14ac:dyDescent="0.3">
      <c r="B71" s="62" t="s">
        <v>182</v>
      </c>
      <c r="C71" s="62"/>
      <c r="D71" s="62"/>
      <c r="E71" s="62"/>
      <c r="F71" s="62"/>
      <c r="G71" s="62"/>
      <c r="H71" s="62"/>
      <c r="I71" s="62"/>
      <c r="J71" s="62"/>
      <c r="K71" s="62"/>
    </row>
    <row r="72" spans="2:11" ht="19.5" customHeight="1" x14ac:dyDescent="0.3">
      <c r="B72" s="3" t="s">
        <v>183</v>
      </c>
      <c r="C72" s="3" t="s">
        <v>184</v>
      </c>
      <c r="D72" s="3" t="s">
        <v>185</v>
      </c>
    </row>
    <row r="73" spans="2:11" ht="18" customHeight="1" x14ac:dyDescent="0.3">
      <c r="B73" s="11" t="s">
        <v>186</v>
      </c>
      <c r="C73" s="34">
        <f>H14</f>
        <v>5492.8767123287671</v>
      </c>
      <c r="D73" s="5" t="s">
        <v>187</v>
      </c>
    </row>
    <row r="74" spans="2:11" ht="18" customHeight="1" x14ac:dyDescent="0.3">
      <c r="B74" s="11" t="s">
        <v>188</v>
      </c>
      <c r="C74" s="34">
        <f>C22</f>
        <v>0</v>
      </c>
      <c r="D74" s="5" t="s">
        <v>189</v>
      </c>
    </row>
    <row r="75" spans="2:11" ht="18" customHeight="1" x14ac:dyDescent="0.3">
      <c r="B75" s="11" t="s">
        <v>190</v>
      </c>
      <c r="C75" s="34">
        <f>K34</f>
        <v>1088.3724855199998</v>
      </c>
      <c r="D75" s="5" t="s">
        <v>191</v>
      </c>
    </row>
    <row r="76" spans="2:11" ht="18" customHeight="1" x14ac:dyDescent="0.3">
      <c r="B76" s="11" t="s">
        <v>192</v>
      </c>
      <c r="C76" s="34">
        <f>C44</f>
        <v>43200</v>
      </c>
      <c r="D76" s="5" t="s">
        <v>193</v>
      </c>
    </row>
    <row r="77" spans="2:11" ht="18" customHeight="1" x14ac:dyDescent="0.3">
      <c r="B77" s="11" t="s">
        <v>194</v>
      </c>
      <c r="C77" s="34">
        <f>E54</f>
        <v>23015</v>
      </c>
      <c r="D77" s="5" t="s">
        <v>195</v>
      </c>
    </row>
    <row r="78" spans="2:11" ht="18" customHeight="1" x14ac:dyDescent="0.3">
      <c r="B78" s="11" t="s">
        <v>196</v>
      </c>
      <c r="C78" s="34">
        <f>C61</f>
        <v>34522500</v>
      </c>
      <c r="D78" s="5" t="s">
        <v>197</v>
      </c>
    </row>
    <row r="79" spans="2:11" ht="18" customHeight="1" x14ac:dyDescent="0.3">
      <c r="B79" s="11" t="s">
        <v>198</v>
      </c>
      <c r="C79" s="23">
        <f>C69</f>
        <v>0</v>
      </c>
      <c r="D79" s="5" t="s">
        <v>199</v>
      </c>
    </row>
    <row r="80" spans="2:11" ht="21.75" customHeight="1" x14ac:dyDescent="0.3">
      <c r="B80" s="36" t="s">
        <v>200</v>
      </c>
      <c r="C80" s="66">
        <f>SUM(C73:C79)</f>
        <v>34595296.249197848</v>
      </c>
    </row>
  </sheetData>
  <mergeCells count="16">
    <mergeCell ref="B2:K2"/>
    <mergeCell ref="B4:K4"/>
    <mergeCell ref="B6:K6"/>
    <mergeCell ref="B7:K7"/>
    <mergeCell ref="B16:K16"/>
    <mergeCell ref="B17:K17"/>
    <mergeCell ref="B24:K24"/>
    <mergeCell ref="B25:K25"/>
    <mergeCell ref="B26:J26"/>
    <mergeCell ref="B27:J27"/>
    <mergeCell ref="B71:K71"/>
    <mergeCell ref="B38:K38"/>
    <mergeCell ref="B39:K39"/>
    <mergeCell ref="B46:K46"/>
    <mergeCell ref="B47:K47"/>
    <mergeCell ref="B64:K64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K58"/>
  <sheetViews>
    <sheetView showGridLines="0" zoomScaleNormal="100"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C40" sqref="C40"/>
    </sheetView>
  </sheetViews>
  <sheetFormatPr defaultColWidth="8.6640625" defaultRowHeight="14.4" x14ac:dyDescent="0.3"/>
  <cols>
    <col min="1" max="1" width="3" customWidth="1"/>
    <col min="2" max="2" width="38" customWidth="1"/>
    <col min="3" max="11" width="18" customWidth="1"/>
  </cols>
  <sheetData>
    <row r="1" spans="2:11" ht="7.5" customHeight="1" x14ac:dyDescent="0.3"/>
    <row r="2" spans="2:11" ht="42" customHeight="1" x14ac:dyDescent="0.3">
      <c r="B2" s="60" t="s">
        <v>201</v>
      </c>
      <c r="C2" s="60"/>
      <c r="D2" s="60"/>
      <c r="E2" s="60"/>
      <c r="F2" s="60"/>
      <c r="G2" s="60"/>
      <c r="H2" s="60"/>
      <c r="I2" s="60"/>
      <c r="J2" s="60"/>
      <c r="K2" s="60"/>
    </row>
    <row r="3" spans="2:11" ht="7.5" customHeight="1" x14ac:dyDescent="0.3"/>
    <row r="4" spans="2:11" ht="18.75" customHeight="1" x14ac:dyDescent="0.3">
      <c r="B4" s="57" t="s">
        <v>202</v>
      </c>
      <c r="C4" s="57"/>
      <c r="D4" s="57"/>
      <c r="E4" s="57"/>
      <c r="F4" s="57"/>
      <c r="G4" s="57"/>
      <c r="H4" s="57"/>
      <c r="I4" s="57"/>
      <c r="J4" s="57"/>
      <c r="K4" s="57"/>
    </row>
    <row r="5" spans="2:11" ht="7.5" customHeight="1" x14ac:dyDescent="0.3"/>
    <row r="6" spans="2:11" ht="15" customHeight="1" x14ac:dyDescent="0.3">
      <c r="B6" s="61" t="s">
        <v>203</v>
      </c>
      <c r="C6" s="61"/>
      <c r="D6" s="61"/>
      <c r="E6" s="61"/>
      <c r="F6" s="61"/>
      <c r="G6" s="61"/>
      <c r="H6" s="61"/>
      <c r="I6" s="61"/>
      <c r="J6" s="61"/>
      <c r="K6" s="61"/>
    </row>
    <row r="7" spans="2:11" ht="15" customHeight="1" x14ac:dyDescent="0.3">
      <c r="B7" s="57" t="s">
        <v>204</v>
      </c>
      <c r="C7" s="57"/>
      <c r="D7" s="57"/>
      <c r="E7" s="57"/>
      <c r="F7" s="57"/>
      <c r="G7" s="57"/>
      <c r="H7" s="57"/>
      <c r="I7" s="57"/>
      <c r="J7" s="57"/>
      <c r="K7" s="57"/>
    </row>
    <row r="8" spans="2:11" ht="34.5" customHeight="1" x14ac:dyDescent="0.3">
      <c r="B8" s="16" t="s">
        <v>205</v>
      </c>
      <c r="C8" s="16" t="s">
        <v>206</v>
      </c>
      <c r="D8" s="16" t="s">
        <v>207</v>
      </c>
      <c r="E8" s="16" t="s">
        <v>102</v>
      </c>
      <c r="F8" s="16" t="s">
        <v>208</v>
      </c>
      <c r="G8" s="16" t="s">
        <v>209</v>
      </c>
      <c r="H8" s="16" t="s">
        <v>210</v>
      </c>
      <c r="I8" s="16" t="s">
        <v>211</v>
      </c>
      <c r="J8" s="16" t="s">
        <v>212</v>
      </c>
      <c r="K8" s="16" t="s">
        <v>213</v>
      </c>
    </row>
    <row r="9" spans="2:11" ht="18" customHeight="1" x14ac:dyDescent="0.3">
      <c r="B9" s="11" t="s">
        <v>214</v>
      </c>
      <c r="C9" s="15">
        <v>500</v>
      </c>
      <c r="D9" s="17">
        <v>50000</v>
      </c>
      <c r="E9" s="17">
        <v>900</v>
      </c>
      <c r="F9" s="17">
        <v>80</v>
      </c>
      <c r="G9" s="37">
        <v>3.0000000000000001E-3</v>
      </c>
      <c r="H9" s="15">
        <v>20</v>
      </c>
      <c r="I9" s="38">
        <f>C9*D9*G9*((1-(1+0.04)^(-H9))/0.04)</f>
        <v>1019274.4758725774</v>
      </c>
      <c r="J9" s="38">
        <f>C9*F9*((1-(1+0.04)^(-H9))/0.04)</f>
        <v>543613.0537987079</v>
      </c>
      <c r="K9" s="38">
        <f>C9*E9*((1-(1+0.04)^(-H9))/0.04)</f>
        <v>6115646.8552354639</v>
      </c>
    </row>
    <row r="10" spans="2:11" ht="18" customHeight="1" x14ac:dyDescent="0.3">
      <c r="B10" s="11" t="s">
        <v>215</v>
      </c>
      <c r="C10" s="15">
        <v>380</v>
      </c>
      <c r="D10" s="17">
        <v>75000</v>
      </c>
      <c r="E10" s="17">
        <v>1400</v>
      </c>
      <c r="F10" s="17">
        <v>95</v>
      </c>
      <c r="G10" s="37">
        <v>8.0000000000000002E-3</v>
      </c>
      <c r="H10" s="15">
        <v>15</v>
      </c>
      <c r="I10" s="38">
        <f>C10*D10*G10*((1-(1+0.04)^(-H10))/0.04)</f>
        <v>2534992.334534334</v>
      </c>
      <c r="J10" s="38">
        <f>C10*F10*((1-(1+0.04)^(-H10))/0.04)</f>
        <v>401373.78630126955</v>
      </c>
      <c r="K10" s="38">
        <f>C10*E10*((1-(1+0.04)^(-H10))/0.04)</f>
        <v>5914982.1139134457</v>
      </c>
    </row>
    <row r="11" spans="2:11" ht="18" customHeight="1" x14ac:dyDescent="0.3">
      <c r="B11" s="11" t="s">
        <v>216</v>
      </c>
      <c r="C11" s="15">
        <v>210</v>
      </c>
      <c r="D11" s="17">
        <v>100000</v>
      </c>
      <c r="E11" s="17">
        <v>2200</v>
      </c>
      <c r="F11" s="17">
        <v>110</v>
      </c>
      <c r="G11" s="37">
        <v>1.7999999999999999E-2</v>
      </c>
      <c r="H11" s="15">
        <v>10</v>
      </c>
      <c r="I11" s="38">
        <f>C11*D11*G11*((1-(1+0.04)^(-H11))/0.04)</f>
        <v>3065918.6045962037</v>
      </c>
      <c r="J11" s="38">
        <f>C11*F11*((1-(1+0.04)^(-H11))/0.04)</f>
        <v>187361.69250310134</v>
      </c>
      <c r="K11" s="38">
        <f>C11*E11*((1-(1+0.04)^(-H11))/0.04)</f>
        <v>3747233.8500620271</v>
      </c>
    </row>
    <row r="12" spans="2:11" ht="18" customHeight="1" x14ac:dyDescent="0.3">
      <c r="B12" s="11" t="s">
        <v>217</v>
      </c>
      <c r="C12" s="15">
        <v>90</v>
      </c>
      <c r="D12" s="17">
        <v>60000</v>
      </c>
      <c r="E12" s="17">
        <v>3100</v>
      </c>
      <c r="F12" s="17">
        <v>130</v>
      </c>
      <c r="G12" s="37">
        <v>3.5000000000000003E-2</v>
      </c>
      <c r="H12" s="15">
        <v>5</v>
      </c>
      <c r="I12" s="38">
        <f>C12*D12*G12*((1-(1+0.04)^(-H12))/0.04)</f>
        <v>841394.42056206416</v>
      </c>
      <c r="J12" s="38">
        <f>C12*F12*((1-(1+0.04)^(-H12))/0.04)</f>
        <v>52086.321272889676</v>
      </c>
      <c r="K12" s="38">
        <f>C12*E12*((1-(1+0.04)^(-H12))/0.04)</f>
        <v>1242058.430353523</v>
      </c>
    </row>
    <row r="13" spans="2:11" ht="19.5" customHeight="1" x14ac:dyDescent="0.3">
      <c r="B13" s="21" t="s">
        <v>218</v>
      </c>
      <c r="I13" s="39">
        <f>SUM(I9:I12)</f>
        <v>7461579.8355651796</v>
      </c>
      <c r="J13" s="39">
        <f>SUM(J9:J12)</f>
        <v>1184434.8538759684</v>
      </c>
      <c r="K13" s="39">
        <f>SUM(K9:K12)</f>
        <v>17019921.249564461</v>
      </c>
    </row>
    <row r="14" spans="2:11" ht="15" customHeight="1" x14ac:dyDescent="0.3">
      <c r="B14" s="64" t="s">
        <v>219</v>
      </c>
      <c r="C14" s="64"/>
      <c r="D14" s="64"/>
      <c r="E14" s="64"/>
      <c r="F14" s="64"/>
      <c r="G14" s="64"/>
      <c r="H14" s="64"/>
      <c r="I14" s="33">
        <f>I13+J13-K13</f>
        <v>-8373906.5601233132</v>
      </c>
    </row>
    <row r="16" spans="2:11" ht="15" customHeight="1" x14ac:dyDescent="0.3">
      <c r="B16" s="61" t="s">
        <v>220</v>
      </c>
      <c r="C16" s="61"/>
      <c r="D16" s="61"/>
      <c r="E16" s="61"/>
      <c r="F16" s="61"/>
      <c r="G16" s="61"/>
      <c r="H16" s="61"/>
      <c r="I16" s="61"/>
      <c r="J16" s="61"/>
      <c r="K16" s="61"/>
    </row>
    <row r="17" spans="2:11" ht="15" customHeight="1" x14ac:dyDescent="0.3">
      <c r="B17" s="57" t="s">
        <v>221</v>
      </c>
      <c r="C17" s="57"/>
      <c r="D17" s="57"/>
      <c r="E17" s="57"/>
      <c r="F17" s="57"/>
      <c r="G17" s="57"/>
      <c r="H17" s="57"/>
      <c r="I17" s="57"/>
      <c r="J17" s="57"/>
      <c r="K17" s="57"/>
    </row>
    <row r="18" spans="2:11" ht="15" customHeight="1" x14ac:dyDescent="0.3">
      <c r="B18" s="63" t="s">
        <v>222</v>
      </c>
      <c r="C18" s="63"/>
      <c r="D18" s="63"/>
      <c r="E18" s="63"/>
      <c r="F18" s="63"/>
      <c r="G18" s="63"/>
      <c r="H18" s="63"/>
      <c r="I18" s="63"/>
      <c r="J18" s="63"/>
    </row>
    <row r="19" spans="2:11" ht="15" customHeight="1" x14ac:dyDescent="0.3">
      <c r="B19" s="57" t="s">
        <v>126</v>
      </c>
      <c r="C19" s="57"/>
      <c r="D19" s="57"/>
      <c r="E19" s="57"/>
      <c r="F19" s="57"/>
      <c r="G19" s="57"/>
      <c r="H19" s="57"/>
      <c r="I19" s="57"/>
      <c r="J19" s="57"/>
    </row>
    <row r="20" spans="2:11" ht="19.5" customHeight="1" x14ac:dyDescent="0.3">
      <c r="B20" s="24" t="s">
        <v>127</v>
      </c>
      <c r="C20" s="25" t="s">
        <v>128</v>
      </c>
      <c r="D20" s="25" t="s">
        <v>129</v>
      </c>
      <c r="E20" s="25" t="s">
        <v>130</v>
      </c>
      <c r="F20" s="25" t="s">
        <v>131</v>
      </c>
      <c r="G20" s="25" t="s">
        <v>132</v>
      </c>
      <c r="H20" s="25" t="s">
        <v>133</v>
      </c>
      <c r="I20" s="26" t="s">
        <v>134</v>
      </c>
      <c r="J20" s="26" t="s">
        <v>135</v>
      </c>
      <c r="K20" s="26" t="s">
        <v>136</v>
      </c>
    </row>
    <row r="21" spans="2:11" ht="18" customHeight="1" x14ac:dyDescent="0.3">
      <c r="B21" s="11" t="s">
        <v>137</v>
      </c>
      <c r="C21" s="15">
        <v>620</v>
      </c>
      <c r="D21" s="15">
        <v>1984</v>
      </c>
      <c r="E21" s="15">
        <v>3573</v>
      </c>
      <c r="F21" s="15">
        <v>4644</v>
      </c>
      <c r="G21" s="15">
        <v>5108</v>
      </c>
      <c r="H21" s="15">
        <v>5210</v>
      </c>
      <c r="I21" s="18">
        <f>H21</f>
        <v>5210</v>
      </c>
      <c r="J21" s="27">
        <f t="shared" ref="J21:J26" si="0">H21</f>
        <v>5210</v>
      </c>
      <c r="K21" s="20">
        <f t="shared" ref="K21:K26" si="1">J21-I21</f>
        <v>0</v>
      </c>
    </row>
    <row r="22" spans="2:11" ht="18" customHeight="1" x14ac:dyDescent="0.3">
      <c r="B22" s="11" t="s">
        <v>138</v>
      </c>
      <c r="C22" s="15">
        <v>580</v>
      </c>
      <c r="D22" s="15">
        <v>1856</v>
      </c>
      <c r="E22" s="15">
        <v>3341</v>
      </c>
      <c r="F22" s="15">
        <v>4343</v>
      </c>
      <c r="G22" s="15">
        <v>4778</v>
      </c>
      <c r="H22" s="28">
        <f>G22*H27</f>
        <v>4873.5600000000004</v>
      </c>
      <c r="I22" s="18">
        <f>G22</f>
        <v>4778</v>
      </c>
      <c r="J22" s="27">
        <f t="shared" si="0"/>
        <v>4873.5600000000004</v>
      </c>
      <c r="K22" s="20">
        <f t="shared" si="1"/>
        <v>95.5600000000004</v>
      </c>
    </row>
    <row r="23" spans="2:11" ht="18" customHeight="1" x14ac:dyDescent="0.3">
      <c r="B23" s="11" t="s">
        <v>139</v>
      </c>
      <c r="C23" s="15">
        <v>710</v>
      </c>
      <c r="D23" s="15">
        <v>2272</v>
      </c>
      <c r="E23" s="15">
        <v>4090</v>
      </c>
      <c r="F23" s="15">
        <v>5317</v>
      </c>
      <c r="G23" s="28">
        <f>F23*G27</f>
        <v>5636.02</v>
      </c>
      <c r="H23" s="28">
        <f>G23*H27</f>
        <v>5748.7404000000006</v>
      </c>
      <c r="I23" s="18">
        <f>F23</f>
        <v>5317</v>
      </c>
      <c r="J23" s="27">
        <f t="shared" si="0"/>
        <v>5748.7404000000006</v>
      </c>
      <c r="K23" s="20">
        <f t="shared" si="1"/>
        <v>431.74040000000059</v>
      </c>
    </row>
    <row r="24" spans="2:11" ht="18" customHeight="1" x14ac:dyDescent="0.3">
      <c r="B24" s="11" t="s">
        <v>140</v>
      </c>
      <c r="C24" s="15">
        <v>760</v>
      </c>
      <c r="D24" s="15">
        <v>2432</v>
      </c>
      <c r="E24" s="15">
        <v>4378</v>
      </c>
      <c r="F24" s="28">
        <f>E24*F27</f>
        <v>5034.7</v>
      </c>
      <c r="G24" s="28">
        <f>F24*G27</f>
        <v>5336.7820000000002</v>
      </c>
      <c r="H24" s="28">
        <f>G24*H27</f>
        <v>5443.51764</v>
      </c>
      <c r="I24" s="18">
        <f>E24</f>
        <v>4378</v>
      </c>
      <c r="J24" s="27">
        <f t="shared" si="0"/>
        <v>5443.51764</v>
      </c>
      <c r="K24" s="20">
        <f t="shared" si="1"/>
        <v>1065.51764</v>
      </c>
    </row>
    <row r="25" spans="2:11" ht="18" customHeight="1" x14ac:dyDescent="0.3">
      <c r="B25" s="11" t="s">
        <v>141</v>
      </c>
      <c r="C25" s="15">
        <v>840</v>
      </c>
      <c r="D25" s="15">
        <v>2688</v>
      </c>
      <c r="E25" s="28">
        <f>D25*E27</f>
        <v>3628.8</v>
      </c>
      <c r="F25" s="28">
        <f>E25*F27</f>
        <v>4173.12</v>
      </c>
      <c r="G25" s="28">
        <f>F25*G27</f>
        <v>4423.5072</v>
      </c>
      <c r="H25" s="28">
        <f>G25*H27</f>
        <v>4511.9773439999999</v>
      </c>
      <c r="I25" s="18">
        <f>D25</f>
        <v>2688</v>
      </c>
      <c r="J25" s="27">
        <f t="shared" si="0"/>
        <v>4511.9773439999999</v>
      </c>
      <c r="K25" s="20">
        <f t="shared" si="1"/>
        <v>1823.9773439999999</v>
      </c>
    </row>
    <row r="26" spans="2:11" ht="18" customHeight="1" x14ac:dyDescent="0.3">
      <c r="B26" s="11" t="s">
        <v>142</v>
      </c>
      <c r="C26" s="15">
        <v>920</v>
      </c>
      <c r="D26" s="28">
        <f>C26*D27</f>
        <v>1656</v>
      </c>
      <c r="E26" s="28">
        <f>D26*E27</f>
        <v>2235.6000000000004</v>
      </c>
      <c r="F26" s="28">
        <f>E26*F27</f>
        <v>2570.94</v>
      </c>
      <c r="G26" s="28">
        <f>F26*G27</f>
        <v>2725.1964000000003</v>
      </c>
      <c r="H26" s="28">
        <f>G26*H27</f>
        <v>2779.7003280000004</v>
      </c>
      <c r="I26" s="18">
        <f>C26</f>
        <v>920</v>
      </c>
      <c r="J26" s="27">
        <f t="shared" si="0"/>
        <v>2779.7003280000004</v>
      </c>
      <c r="K26" s="20">
        <f t="shared" si="1"/>
        <v>1859.7003280000004</v>
      </c>
    </row>
    <row r="27" spans="2:11" ht="18" customHeight="1" x14ac:dyDescent="0.3">
      <c r="B27" s="29" t="s">
        <v>143</v>
      </c>
      <c r="C27" s="30">
        <f>'⚙️ Assumptions'!D16</f>
        <v>3.2</v>
      </c>
      <c r="D27" s="30">
        <f>'⚙️ Assumptions'!D17</f>
        <v>1.8</v>
      </c>
      <c r="E27" s="30">
        <f>'⚙️ Assumptions'!D18</f>
        <v>1.35</v>
      </c>
      <c r="F27" s="30">
        <f>'⚙️ Assumptions'!D19</f>
        <v>1.1499999999999999</v>
      </c>
      <c r="G27" s="30">
        <f>'⚙️ Assumptions'!D20</f>
        <v>1.06</v>
      </c>
      <c r="H27" s="30">
        <f>'⚙️ Assumptions'!D21</f>
        <v>1.02</v>
      </c>
    </row>
    <row r="28" spans="2:11" ht="19.5" customHeight="1" x14ac:dyDescent="0.3">
      <c r="B28" s="21" t="s">
        <v>144</v>
      </c>
      <c r="K28" s="22">
        <f>SUM(K21:K26)</f>
        <v>5276.4957120000017</v>
      </c>
    </row>
    <row r="30" spans="2:11" ht="15" customHeight="1" x14ac:dyDescent="0.3">
      <c r="B30" s="61" t="s">
        <v>223</v>
      </c>
      <c r="C30" s="61"/>
      <c r="D30" s="61"/>
      <c r="E30" s="61"/>
      <c r="F30" s="61"/>
      <c r="G30" s="61"/>
      <c r="H30" s="61"/>
      <c r="I30" s="61"/>
      <c r="J30" s="61"/>
      <c r="K30" s="61"/>
    </row>
    <row r="31" spans="2:11" ht="15" customHeight="1" x14ac:dyDescent="0.3">
      <c r="B31" s="57" t="s">
        <v>224</v>
      </c>
      <c r="C31" s="57"/>
      <c r="D31" s="57"/>
      <c r="E31" s="57"/>
      <c r="F31" s="57"/>
      <c r="G31" s="57"/>
      <c r="H31" s="57"/>
      <c r="I31" s="57"/>
      <c r="J31" s="57"/>
      <c r="K31" s="57"/>
    </row>
    <row r="32" spans="2:11" ht="19.5" customHeight="1" x14ac:dyDescent="0.3">
      <c r="B32" s="9" t="s">
        <v>156</v>
      </c>
      <c r="C32" s="9" t="s">
        <v>207</v>
      </c>
      <c r="D32" s="9" t="s">
        <v>225</v>
      </c>
      <c r="E32" s="9" t="s">
        <v>226</v>
      </c>
    </row>
    <row r="33" spans="2:5" ht="18" customHeight="1" x14ac:dyDescent="0.3">
      <c r="B33" s="11" t="s">
        <v>227</v>
      </c>
      <c r="C33" s="17">
        <v>100000</v>
      </c>
      <c r="D33" s="13">
        <v>0.9</v>
      </c>
      <c r="E33" s="20">
        <f>C33*D33</f>
        <v>90000</v>
      </c>
    </row>
    <row r="34" spans="2:5" ht="18" customHeight="1" x14ac:dyDescent="0.3">
      <c r="B34" s="11" t="s">
        <v>228</v>
      </c>
      <c r="C34" s="17">
        <v>75000</v>
      </c>
      <c r="D34" s="13">
        <v>0.7</v>
      </c>
      <c r="E34" s="20">
        <f>C34*D34</f>
        <v>52500</v>
      </c>
    </row>
    <row r="35" spans="2:5" ht="18" customHeight="1" x14ac:dyDescent="0.3">
      <c r="B35" s="11" t="s">
        <v>229</v>
      </c>
      <c r="C35" s="17">
        <v>50000</v>
      </c>
      <c r="D35" s="13">
        <v>0.95</v>
      </c>
      <c r="E35" s="20">
        <f>C35*D35</f>
        <v>47500</v>
      </c>
    </row>
    <row r="36" spans="2:5" ht="18" customHeight="1" x14ac:dyDescent="0.3">
      <c r="B36" s="11" t="s">
        <v>230</v>
      </c>
      <c r="C36" s="17">
        <v>200000</v>
      </c>
      <c r="D36" s="13">
        <v>0.4</v>
      </c>
      <c r="E36" s="20">
        <f>C36*D36</f>
        <v>80000</v>
      </c>
    </row>
    <row r="37" spans="2:5" ht="18" customHeight="1" x14ac:dyDescent="0.3">
      <c r="B37" s="11" t="s">
        <v>231</v>
      </c>
      <c r="C37" s="17">
        <v>60000</v>
      </c>
      <c r="D37" s="13">
        <v>0.85</v>
      </c>
      <c r="E37" s="20">
        <f>C37*D37</f>
        <v>51000</v>
      </c>
    </row>
    <row r="38" spans="2:5" ht="19.5" customHeight="1" x14ac:dyDescent="0.3">
      <c r="B38" s="21" t="s">
        <v>165</v>
      </c>
      <c r="E38" s="22">
        <f>SUM(E33:E37)</f>
        <v>321000</v>
      </c>
    </row>
    <row r="39" spans="2:5" ht="15" customHeight="1" x14ac:dyDescent="0.3"/>
    <row r="40" spans="2:5" ht="15" customHeight="1" x14ac:dyDescent="0.3">
      <c r="B40" s="1" t="s">
        <v>232</v>
      </c>
      <c r="C40" s="23">
        <f>E38</f>
        <v>321000</v>
      </c>
      <c r="D40" s="32" t="s">
        <v>233</v>
      </c>
    </row>
    <row r="41" spans="2:5" ht="18" customHeight="1" x14ac:dyDescent="0.3">
      <c r="B41" s="11" t="s">
        <v>234</v>
      </c>
      <c r="C41" s="33">
        <f>C40*D40</f>
        <v>25680</v>
      </c>
    </row>
    <row r="42" spans="2:5" ht="15" customHeight="1" x14ac:dyDescent="0.3">
      <c r="B42" s="11" t="s">
        <v>171</v>
      </c>
      <c r="C42" s="32">
        <f>'⚙️ Assumptions'!D35</f>
        <v>25000</v>
      </c>
    </row>
    <row r="43" spans="2:5" ht="15" customHeight="1" x14ac:dyDescent="0.3">
      <c r="B43" s="31" t="s">
        <v>173</v>
      </c>
      <c r="C43" s="22">
        <f>C41*C42</f>
        <v>642000000</v>
      </c>
    </row>
    <row r="45" spans="2:5" ht="15" customHeight="1" x14ac:dyDescent="0.3">
      <c r="B45" s="1" t="s">
        <v>235</v>
      </c>
      <c r="C45" s="33">
        <f>C46*C47</f>
        <v>0</v>
      </c>
    </row>
    <row r="46" spans="2:5" ht="18" customHeight="1" x14ac:dyDescent="0.3">
      <c r="B46" s="11" t="s">
        <v>176</v>
      </c>
      <c r="C46" s="17">
        <v>8500000</v>
      </c>
    </row>
    <row r="47" spans="2:5" ht="15" customHeight="1" x14ac:dyDescent="0.3">
      <c r="B47" s="11" t="s">
        <v>236</v>
      </c>
      <c r="C47" s="35">
        <f>'⚙️ Assumptions'!D36</f>
        <v>0</v>
      </c>
    </row>
    <row r="48" spans="2:5" ht="15" customHeight="1" x14ac:dyDescent="0.3">
      <c r="B48" s="11" t="s">
        <v>237</v>
      </c>
      <c r="C48" s="33">
        <f>C46*C47</f>
        <v>0</v>
      </c>
    </row>
    <row r="49" spans="2:11" ht="15" customHeight="1" x14ac:dyDescent="0.3">
      <c r="B49" s="31" t="s">
        <v>181</v>
      </c>
      <c r="C49" s="33">
        <f>C46*C47</f>
        <v>0</v>
      </c>
    </row>
    <row r="51" spans="2:11" ht="15" customHeight="1" x14ac:dyDescent="0.3">
      <c r="B51" s="62" t="s">
        <v>238</v>
      </c>
      <c r="C51" s="62"/>
      <c r="D51" s="62"/>
      <c r="E51" s="62"/>
      <c r="F51" s="62"/>
      <c r="G51" s="62"/>
      <c r="H51" s="62"/>
      <c r="I51" s="62"/>
      <c r="J51" s="62"/>
      <c r="K51" s="62"/>
    </row>
    <row r="52" spans="2:11" ht="19.5" customHeight="1" x14ac:dyDescent="0.3">
      <c r="B52" s="3" t="s">
        <v>183</v>
      </c>
      <c r="C52" s="3" t="s">
        <v>184</v>
      </c>
      <c r="D52" s="3" t="s">
        <v>185</v>
      </c>
    </row>
    <row r="53" spans="2:11" ht="18" customHeight="1" x14ac:dyDescent="0.3">
      <c r="B53" s="11" t="s">
        <v>239</v>
      </c>
      <c r="C53" s="34">
        <f>I14</f>
        <v>-8373906.5601233132</v>
      </c>
      <c r="D53" s="5" t="s">
        <v>240</v>
      </c>
    </row>
    <row r="54" spans="2:11" ht="18" customHeight="1" x14ac:dyDescent="0.3">
      <c r="B54" s="11" t="s">
        <v>190</v>
      </c>
      <c r="C54" s="34">
        <f>K26</f>
        <v>1859.7003280000004</v>
      </c>
      <c r="D54" s="5" t="s">
        <v>241</v>
      </c>
    </row>
    <row r="55" spans="2:11" ht="18" customHeight="1" x14ac:dyDescent="0.3">
      <c r="B55" s="11" t="s">
        <v>194</v>
      </c>
      <c r="C55" s="34">
        <f>E38</f>
        <v>321000</v>
      </c>
      <c r="D55" s="5" t="s">
        <v>242</v>
      </c>
    </row>
    <row r="56" spans="2:11" ht="18" customHeight="1" x14ac:dyDescent="0.3">
      <c r="B56" s="11" t="s">
        <v>196</v>
      </c>
      <c r="C56" s="34">
        <f>C43</f>
        <v>642000000</v>
      </c>
      <c r="D56" s="5" t="s">
        <v>243</v>
      </c>
    </row>
    <row r="57" spans="2:11" ht="18" customHeight="1" x14ac:dyDescent="0.3">
      <c r="B57" s="11" t="s">
        <v>198</v>
      </c>
      <c r="C57" s="23">
        <f>C49</f>
        <v>0</v>
      </c>
      <c r="D57" s="5" t="s">
        <v>199</v>
      </c>
    </row>
    <row r="58" spans="2:11" ht="21.75" customHeight="1" x14ac:dyDescent="0.3">
      <c r="B58" s="36" t="s">
        <v>244</v>
      </c>
      <c r="C58" s="33">
        <f>SUM(C53:C57)</f>
        <v>633948953.14020467</v>
      </c>
    </row>
  </sheetData>
  <mergeCells count="12">
    <mergeCell ref="B2:K2"/>
    <mergeCell ref="B4:K4"/>
    <mergeCell ref="B6:K6"/>
    <mergeCell ref="B7:K7"/>
    <mergeCell ref="B14:H14"/>
    <mergeCell ref="B31:K31"/>
    <mergeCell ref="B51:K51"/>
    <mergeCell ref="B16:K16"/>
    <mergeCell ref="B17:K17"/>
    <mergeCell ref="B18:J18"/>
    <mergeCell ref="B19:J19"/>
    <mergeCell ref="B30:K30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1:K56"/>
  <sheetViews>
    <sheetView showGridLines="0" zoomScaleNormal="100" workbookViewId="0">
      <pane xSplit="1" ySplit="4" topLeftCell="B5" activePane="bottomRight" state="frozen"/>
      <selection pane="topRight" activeCell="B1" sqref="B1"/>
      <selection pane="bottomLeft" activeCell="A5" sqref="A5"/>
      <selection pane="bottomRight"/>
    </sheetView>
  </sheetViews>
  <sheetFormatPr defaultColWidth="8.6640625" defaultRowHeight="14.4" x14ac:dyDescent="0.3"/>
  <cols>
    <col min="1" max="1" width="3" customWidth="1"/>
    <col min="2" max="2" width="38" customWidth="1"/>
    <col min="3" max="11" width="18" customWidth="1"/>
  </cols>
  <sheetData>
    <row r="1" spans="2:11" ht="7.5" customHeight="1" x14ac:dyDescent="0.3"/>
    <row r="2" spans="2:11" ht="42" customHeight="1" x14ac:dyDescent="0.3">
      <c r="B2" s="60" t="s">
        <v>245</v>
      </c>
      <c r="C2" s="60"/>
      <c r="D2" s="60"/>
      <c r="E2" s="60"/>
      <c r="F2" s="60"/>
      <c r="G2" s="60"/>
      <c r="H2" s="60"/>
      <c r="I2" s="60"/>
      <c r="J2" s="60"/>
      <c r="K2" s="60"/>
    </row>
    <row r="3" spans="2:11" ht="7.5" customHeight="1" x14ac:dyDescent="0.3"/>
    <row r="4" spans="2:11" ht="18.75" customHeight="1" x14ac:dyDescent="0.3">
      <c r="B4" s="57" t="s">
        <v>246</v>
      </c>
      <c r="C4" s="57"/>
      <c r="D4" s="57"/>
      <c r="E4" s="57"/>
      <c r="F4" s="57"/>
      <c r="G4" s="57"/>
      <c r="H4" s="57"/>
      <c r="I4" s="57"/>
      <c r="J4" s="57"/>
      <c r="K4" s="57"/>
    </row>
    <row r="5" spans="2:11" ht="7.5" customHeight="1" x14ac:dyDescent="0.3"/>
    <row r="6" spans="2:11" ht="15" customHeight="1" x14ac:dyDescent="0.3">
      <c r="B6" s="61" t="s">
        <v>247</v>
      </c>
      <c r="C6" s="61"/>
      <c r="D6" s="61"/>
      <c r="E6" s="61"/>
      <c r="F6" s="61"/>
      <c r="G6" s="61"/>
      <c r="H6" s="61"/>
      <c r="I6" s="61"/>
      <c r="J6" s="61"/>
      <c r="K6" s="61"/>
    </row>
    <row r="7" spans="2:11" ht="15" customHeight="1" x14ac:dyDescent="0.3">
      <c r="B7" s="57" t="s">
        <v>248</v>
      </c>
      <c r="C7" s="57"/>
      <c r="D7" s="57"/>
      <c r="E7" s="57"/>
      <c r="F7" s="57"/>
      <c r="G7" s="57"/>
      <c r="H7" s="57"/>
      <c r="I7" s="57"/>
      <c r="J7" s="57"/>
      <c r="K7" s="57"/>
    </row>
    <row r="8" spans="2:11" ht="34.5" customHeight="1" x14ac:dyDescent="0.3">
      <c r="B8" s="16" t="s">
        <v>249</v>
      </c>
      <c r="C8" s="16" t="s">
        <v>250</v>
      </c>
      <c r="D8" s="16" t="s">
        <v>251</v>
      </c>
      <c r="E8" s="16" t="s">
        <v>252</v>
      </c>
      <c r="F8" s="16" t="s">
        <v>253</v>
      </c>
      <c r="G8" s="16" t="s">
        <v>254</v>
      </c>
      <c r="H8" s="16" t="s">
        <v>210</v>
      </c>
      <c r="I8" s="16" t="s">
        <v>255</v>
      </c>
      <c r="J8" s="16" t="s">
        <v>256</v>
      </c>
    </row>
    <row r="9" spans="2:11" ht="18" customHeight="1" x14ac:dyDescent="0.3">
      <c r="B9" s="11" t="s">
        <v>257</v>
      </c>
      <c r="C9" s="15">
        <v>45</v>
      </c>
      <c r="D9" s="17">
        <v>350</v>
      </c>
      <c r="E9" s="15">
        <v>12</v>
      </c>
      <c r="F9" s="13">
        <v>0.3</v>
      </c>
      <c r="G9" s="13">
        <v>0.02</v>
      </c>
      <c r="H9" s="15">
        <v>8</v>
      </c>
      <c r="I9" s="40">
        <f>IF((F9+G9)=0,H9,(1-(1-F9-G9)^H9*(1+0.04)^(-H9))/(F9+G9+0.04))</f>
        <v>2.6849875829717513</v>
      </c>
      <c r="J9" s="41">
        <f>C9*D9*52*I9</f>
        <v>2199004.8304538643</v>
      </c>
    </row>
    <row r="10" spans="2:11" ht="18" customHeight="1" x14ac:dyDescent="0.3">
      <c r="B10" s="11" t="s">
        <v>258</v>
      </c>
      <c r="C10" s="15">
        <v>28</v>
      </c>
      <c r="D10" s="17">
        <v>420</v>
      </c>
      <c r="E10" s="15">
        <v>60</v>
      </c>
      <c r="F10" s="13">
        <v>0.18</v>
      </c>
      <c r="G10" s="13">
        <v>0.03</v>
      </c>
      <c r="H10" s="15">
        <v>7</v>
      </c>
      <c r="I10" s="40">
        <f>IF((F10+G10)=0,H10,(1-(1-F10-G10)^H10*(1+0.04)^(-H10))/(F10+G10+0.04))</f>
        <v>3.4162642991322638</v>
      </c>
      <c r="J10" s="41">
        <f>C10*D10*52*I10</f>
        <v>2089113.9442053619</v>
      </c>
    </row>
    <row r="11" spans="2:11" ht="18" customHeight="1" x14ac:dyDescent="0.3">
      <c r="B11" s="11" t="s">
        <v>259</v>
      </c>
      <c r="C11" s="15">
        <v>18</v>
      </c>
      <c r="D11" s="17">
        <v>380</v>
      </c>
      <c r="E11" s="15">
        <v>130</v>
      </c>
      <c r="F11" s="13">
        <v>0.1</v>
      </c>
      <c r="G11" s="13">
        <v>0.04</v>
      </c>
      <c r="H11" s="15">
        <v>5</v>
      </c>
      <c r="I11" s="40">
        <f>IF((F11+G11)=0,H11,(1-(1-F11-G11)^H11*(1+0.04)^(-H11))/(F11+G11+0.04))</f>
        <v>3.407462680458897</v>
      </c>
      <c r="J11" s="41">
        <f>C11*D11*52*I11</f>
        <v>1211966.3261856204</v>
      </c>
    </row>
    <row r="12" spans="2:11" ht="18" customHeight="1" x14ac:dyDescent="0.3">
      <c r="B12" s="11" t="s">
        <v>260</v>
      </c>
      <c r="C12" s="15">
        <v>9</v>
      </c>
      <c r="D12" s="17">
        <v>500</v>
      </c>
      <c r="E12" s="15">
        <v>280</v>
      </c>
      <c r="F12" s="13">
        <v>0.05</v>
      </c>
      <c r="G12" s="13">
        <v>0.06</v>
      </c>
      <c r="H12" s="15">
        <v>3</v>
      </c>
      <c r="I12" s="40">
        <f>IF((F12+G12)=0,H12,(1-(1-F12-G12)^H12*(1+0.04)^(-H12))/(F12+G12+0.04))</f>
        <v>2.4885675068274935</v>
      </c>
      <c r="J12" s="41">
        <f>C12*D12*52*I12</f>
        <v>582324.79659763351</v>
      </c>
    </row>
    <row r="13" spans="2:11" ht="19.5" customHeight="1" x14ac:dyDescent="0.3">
      <c r="B13" s="21" t="s">
        <v>261</v>
      </c>
      <c r="J13" s="33">
        <f>SUM(J9:J12)</f>
        <v>6082409.8974424796</v>
      </c>
    </row>
    <row r="14" spans="2:11" ht="15" customHeight="1" x14ac:dyDescent="0.3">
      <c r="C14" s="23">
        <f>J13</f>
        <v>6082409.8974424796</v>
      </c>
    </row>
    <row r="15" spans="2:11" ht="15" customHeight="1" x14ac:dyDescent="0.3">
      <c r="B15" s="1" t="s">
        <v>262</v>
      </c>
      <c r="C15" s="32" t="s">
        <v>263</v>
      </c>
    </row>
    <row r="16" spans="2:11" ht="40.799999999999997" x14ac:dyDescent="0.3">
      <c r="B16" s="2" t="s">
        <v>264</v>
      </c>
      <c r="C16" s="33">
        <f>C14*C15</f>
        <v>608240.98974424799</v>
      </c>
    </row>
    <row r="17" spans="2:11" ht="34.5" customHeight="1" x14ac:dyDescent="0.3">
      <c r="B17" s="16" t="s">
        <v>265</v>
      </c>
      <c r="C17" s="16" t="s">
        <v>266</v>
      </c>
      <c r="D17" s="16" t="s">
        <v>102</v>
      </c>
      <c r="E17" s="16" t="s">
        <v>208</v>
      </c>
      <c r="F17" s="16" t="s">
        <v>267</v>
      </c>
      <c r="G17" s="16" t="s">
        <v>268</v>
      </c>
      <c r="H17" s="16" t="s">
        <v>251</v>
      </c>
      <c r="I17" s="16" t="s">
        <v>210</v>
      </c>
      <c r="J17" s="42" t="s">
        <v>269</v>
      </c>
    </row>
    <row r="18" spans="2:11" ht="18" customHeight="1" x14ac:dyDescent="0.3">
      <c r="B18" s="11" t="s">
        <v>270</v>
      </c>
      <c r="C18" s="12">
        <v>320</v>
      </c>
      <c r="D18" s="17">
        <v>600</v>
      </c>
      <c r="E18" s="17">
        <v>50</v>
      </c>
      <c r="F18" s="37">
        <v>4.0000000000000001E-3</v>
      </c>
      <c r="G18" s="43">
        <v>1.5</v>
      </c>
      <c r="H18" s="17">
        <v>250</v>
      </c>
      <c r="I18" s="15">
        <v>30</v>
      </c>
      <c r="J18" s="41">
        <f>C18*(F18*H18*52*((1-(1+0.04)^(-G18))/0.04)+(E18)*((1-(1+0.04)^(-I18))/0.04)-D18*((1-(1+0.04)^(-I18))/0.04))</f>
        <v>-3019630.1311933184</v>
      </c>
    </row>
    <row r="19" spans="2:11" ht="18" customHeight="1" x14ac:dyDescent="0.3">
      <c r="B19" s="11" t="s">
        <v>271</v>
      </c>
      <c r="C19" s="12">
        <v>480</v>
      </c>
      <c r="D19" s="17">
        <v>850</v>
      </c>
      <c r="E19" s="17">
        <v>65</v>
      </c>
      <c r="F19" s="37">
        <v>8.0000000000000002E-3</v>
      </c>
      <c r="G19" s="43">
        <v>2</v>
      </c>
      <c r="H19" s="17">
        <v>350</v>
      </c>
      <c r="I19" s="15">
        <v>22</v>
      </c>
      <c r="J19" s="41">
        <f>C19*(F19*H19*52*((1-(1+0.04)^(-G19))/0.04)+(E19)*((1-(1+0.04)^(-I19))/0.04)-D19*((1-(1+0.04)^(-I19))/0.04))</f>
        <v>-5313364.8731359374</v>
      </c>
    </row>
    <row r="20" spans="2:11" ht="18" customHeight="1" x14ac:dyDescent="0.3">
      <c r="B20" s="11" t="s">
        <v>272</v>
      </c>
      <c r="C20" s="12">
        <v>380</v>
      </c>
      <c r="D20" s="17">
        <v>1200</v>
      </c>
      <c r="E20" s="17">
        <v>80</v>
      </c>
      <c r="F20" s="37">
        <v>1.7999999999999999E-2</v>
      </c>
      <c r="G20" s="43">
        <v>3</v>
      </c>
      <c r="H20" s="17">
        <v>420</v>
      </c>
      <c r="I20" s="15">
        <v>14</v>
      </c>
      <c r="J20" s="41">
        <f>C20*(F20*H20*52*((1-(1+0.04)^(-G20))/0.04)+(E20)*((1-(1+0.04)^(-I20))/0.04)-D20*((1-(1+0.04)^(-I20))/0.04))</f>
        <v>-4081106.4797227313</v>
      </c>
    </row>
    <row r="21" spans="2:11" ht="18" customHeight="1" x14ac:dyDescent="0.3">
      <c r="B21" s="11" t="s">
        <v>273</v>
      </c>
      <c r="C21" s="12">
        <v>160</v>
      </c>
      <c r="D21" s="17">
        <v>1800</v>
      </c>
      <c r="E21" s="17">
        <v>95</v>
      </c>
      <c r="F21" s="37">
        <v>3.5000000000000003E-2</v>
      </c>
      <c r="G21" s="43">
        <v>4.5</v>
      </c>
      <c r="H21" s="17">
        <v>500</v>
      </c>
      <c r="I21" s="15">
        <v>7</v>
      </c>
      <c r="J21" s="41">
        <f>C21*(F21*H21*52*((1-(1+0.04)^(-G21))/0.04)+(E21)*((1-(1+0.04)^(-I21))/0.04)-D21*((1-(1+0.04)^(-I21))/0.04))</f>
        <v>-1048424.7892149544</v>
      </c>
    </row>
    <row r="22" spans="2:11" ht="19.5" customHeight="1" x14ac:dyDescent="0.3">
      <c r="B22" s="21" t="s">
        <v>274</v>
      </c>
      <c r="J22" s="33">
        <f>SUM(J18:J21)</f>
        <v>-13462526.273266941</v>
      </c>
    </row>
    <row r="24" spans="2:11" ht="15" customHeight="1" x14ac:dyDescent="0.3">
      <c r="B24" s="61" t="s">
        <v>123</v>
      </c>
      <c r="C24" s="61"/>
      <c r="D24" s="61"/>
      <c r="E24" s="61"/>
      <c r="F24" s="61"/>
      <c r="G24" s="61"/>
      <c r="H24" s="61"/>
      <c r="I24" s="61"/>
      <c r="J24" s="61"/>
      <c r="K24" s="61"/>
    </row>
    <row r="25" spans="2:11" ht="51" x14ac:dyDescent="0.3">
      <c r="B25" s="2" t="s">
        <v>275</v>
      </c>
      <c r="J25" s="41">
        <f>C25*(F25*H25*52*((1-(1+0.04)^(-G25))/0.04)+(E25)*((1-(1+0.04)^(-I25))/0.04)-D25*((1-(1+0.04)^(-I25))/0.04))</f>
        <v>0</v>
      </c>
    </row>
    <row r="26" spans="2:11" ht="15" customHeight="1" x14ac:dyDescent="0.3">
      <c r="B26" s="63" t="s">
        <v>276</v>
      </c>
      <c r="C26" s="63"/>
      <c r="D26" s="63"/>
      <c r="E26" s="63"/>
      <c r="F26" s="63"/>
      <c r="G26" s="63"/>
      <c r="H26" s="63"/>
      <c r="I26" s="63"/>
      <c r="J26" s="63"/>
    </row>
    <row r="27" spans="2:11" x14ac:dyDescent="0.3">
      <c r="B27" s="57" t="s">
        <v>126</v>
      </c>
      <c r="C27" s="57"/>
      <c r="D27" s="57"/>
      <c r="E27" s="57"/>
      <c r="F27" s="57"/>
      <c r="G27" s="57"/>
      <c r="H27" s="57"/>
      <c r="I27" s="57"/>
      <c r="J27" s="57"/>
    </row>
    <row r="28" spans="2:11" ht="19.5" customHeight="1" x14ac:dyDescent="0.3">
      <c r="B28" s="24" t="s">
        <v>127</v>
      </c>
      <c r="C28" s="25" t="s">
        <v>128</v>
      </c>
      <c r="D28" s="25" t="s">
        <v>129</v>
      </c>
      <c r="E28" s="25" t="s">
        <v>130</v>
      </c>
      <c r="F28" s="25" t="s">
        <v>131</v>
      </c>
      <c r="G28" s="25" t="s">
        <v>132</v>
      </c>
      <c r="H28" s="25" t="s">
        <v>133</v>
      </c>
      <c r="I28" s="26" t="s">
        <v>134</v>
      </c>
      <c r="J28" s="26" t="s">
        <v>135</v>
      </c>
      <c r="K28" s="26" t="s">
        <v>136</v>
      </c>
    </row>
    <row r="29" spans="2:11" ht="18" customHeight="1" x14ac:dyDescent="0.3">
      <c r="B29" s="11" t="s">
        <v>137</v>
      </c>
      <c r="C29" s="15">
        <v>480</v>
      </c>
      <c r="D29" s="15">
        <v>1968</v>
      </c>
      <c r="E29" s="15">
        <v>4330</v>
      </c>
      <c r="F29" s="15">
        <v>6495</v>
      </c>
      <c r="G29" s="15">
        <v>7144</v>
      </c>
      <c r="H29" s="15">
        <v>7430</v>
      </c>
      <c r="I29" s="18">
        <f>H29</f>
        <v>7430</v>
      </c>
      <c r="J29" s="27">
        <f t="shared" ref="J29:J34" si="0">H29</f>
        <v>7430</v>
      </c>
      <c r="K29" s="20">
        <f t="shared" ref="K29:K34" si="1">J29-I29</f>
        <v>0</v>
      </c>
    </row>
    <row r="30" spans="2:11" ht="18" customHeight="1" x14ac:dyDescent="0.3">
      <c r="B30" s="11" t="s">
        <v>138</v>
      </c>
      <c r="C30" s="15">
        <v>510</v>
      </c>
      <c r="D30" s="15">
        <v>2091</v>
      </c>
      <c r="E30" s="15">
        <v>4600</v>
      </c>
      <c r="F30" s="15">
        <v>6900</v>
      </c>
      <c r="G30" s="15">
        <v>7590</v>
      </c>
      <c r="H30" s="28">
        <f>G30*H35</f>
        <v>7893.6</v>
      </c>
      <c r="I30" s="18">
        <f>G30</f>
        <v>7590</v>
      </c>
      <c r="J30" s="27">
        <f t="shared" si="0"/>
        <v>7893.6</v>
      </c>
      <c r="K30" s="20">
        <f t="shared" si="1"/>
        <v>303.60000000000036</v>
      </c>
    </row>
    <row r="31" spans="2:11" ht="18" customHeight="1" x14ac:dyDescent="0.3">
      <c r="B31" s="11" t="s">
        <v>139</v>
      </c>
      <c r="C31" s="15">
        <v>550</v>
      </c>
      <c r="D31" s="15">
        <v>2255</v>
      </c>
      <c r="E31" s="15">
        <v>4961</v>
      </c>
      <c r="F31" s="15">
        <v>7442</v>
      </c>
      <c r="G31" s="28">
        <f>F31*G35</f>
        <v>8186.2000000000007</v>
      </c>
      <c r="H31" s="28">
        <f>G31*H35</f>
        <v>8513.648000000001</v>
      </c>
      <c r="I31" s="18">
        <f>F31</f>
        <v>7442</v>
      </c>
      <c r="J31" s="27">
        <f t="shared" si="0"/>
        <v>8513.648000000001</v>
      </c>
      <c r="K31" s="20">
        <f t="shared" si="1"/>
        <v>1071.648000000001</v>
      </c>
    </row>
    <row r="32" spans="2:11" ht="18" customHeight="1" x14ac:dyDescent="0.3">
      <c r="B32" s="11" t="s">
        <v>140</v>
      </c>
      <c r="C32" s="15">
        <v>590</v>
      </c>
      <c r="D32" s="15">
        <v>2419</v>
      </c>
      <c r="E32" s="15">
        <v>5322</v>
      </c>
      <c r="F32" s="28">
        <f>E32*F35</f>
        <v>6652.5</v>
      </c>
      <c r="G32" s="28">
        <f>F32*G35</f>
        <v>7317.7500000000009</v>
      </c>
      <c r="H32" s="28">
        <f>G32*H35</f>
        <v>7610.4600000000009</v>
      </c>
      <c r="I32" s="18">
        <f>E32</f>
        <v>5322</v>
      </c>
      <c r="J32" s="27">
        <f t="shared" si="0"/>
        <v>7610.4600000000009</v>
      </c>
      <c r="K32" s="20">
        <f t="shared" si="1"/>
        <v>2288.4600000000009</v>
      </c>
    </row>
    <row r="33" spans="2:11" ht="18" customHeight="1" x14ac:dyDescent="0.3">
      <c r="B33" s="11" t="s">
        <v>141</v>
      </c>
      <c r="C33" s="15">
        <v>630</v>
      </c>
      <c r="D33" s="15">
        <v>2583</v>
      </c>
      <c r="E33" s="28">
        <f>D33*E35</f>
        <v>4003.65</v>
      </c>
      <c r="F33" s="28">
        <f>E33*F35</f>
        <v>5004.5625</v>
      </c>
      <c r="G33" s="28">
        <f>F33*G35</f>
        <v>5505.0187500000002</v>
      </c>
      <c r="H33" s="28">
        <f>G33*H35</f>
        <v>5725.2195000000002</v>
      </c>
      <c r="I33" s="18">
        <f>D33</f>
        <v>2583</v>
      </c>
      <c r="J33" s="27">
        <f t="shared" si="0"/>
        <v>5725.2195000000002</v>
      </c>
      <c r="K33" s="20">
        <f t="shared" si="1"/>
        <v>3142.2195000000002</v>
      </c>
    </row>
    <row r="34" spans="2:11" ht="18" customHeight="1" x14ac:dyDescent="0.3">
      <c r="B34" s="11" t="s">
        <v>142</v>
      </c>
      <c r="C34" s="15">
        <v>680</v>
      </c>
      <c r="D34" s="28">
        <f>C34*D35</f>
        <v>1496.0000000000002</v>
      </c>
      <c r="E34" s="28">
        <f>D34*E35</f>
        <v>2318.8000000000006</v>
      </c>
      <c r="F34" s="28">
        <f>E34*F35</f>
        <v>2898.5000000000009</v>
      </c>
      <c r="G34" s="28">
        <f>F34*G35</f>
        <v>3188.3500000000013</v>
      </c>
      <c r="H34" s="28">
        <f>G34*H35</f>
        <v>3315.8840000000014</v>
      </c>
      <c r="I34" s="18">
        <f>C34</f>
        <v>680</v>
      </c>
      <c r="J34" s="27">
        <f t="shared" si="0"/>
        <v>3315.8840000000014</v>
      </c>
      <c r="K34" s="20">
        <f t="shared" si="1"/>
        <v>2635.8840000000014</v>
      </c>
    </row>
    <row r="35" spans="2:11" ht="18" customHeight="1" x14ac:dyDescent="0.3">
      <c r="B35" s="29" t="s">
        <v>143</v>
      </c>
      <c r="C35" s="30">
        <f>'⚙️ Assumptions'!E16</f>
        <v>4.0999999999999996</v>
      </c>
      <c r="D35" s="30">
        <f>'⚙️ Assumptions'!E17</f>
        <v>2.2000000000000002</v>
      </c>
      <c r="E35" s="30">
        <f>'⚙️ Assumptions'!E18</f>
        <v>1.55</v>
      </c>
      <c r="F35" s="30">
        <f>'⚙️ Assumptions'!E19</f>
        <v>1.25</v>
      </c>
      <c r="G35" s="30">
        <f>'⚙️ Assumptions'!E20</f>
        <v>1.1000000000000001</v>
      </c>
      <c r="H35" s="30">
        <f>'⚙️ Assumptions'!E21</f>
        <v>1.04</v>
      </c>
    </row>
    <row r="36" spans="2:11" ht="19.5" customHeight="1" x14ac:dyDescent="0.3">
      <c r="B36" s="21" t="s">
        <v>144</v>
      </c>
      <c r="K36" s="22">
        <f>SUM(K29:K34)</f>
        <v>9441.8115000000034</v>
      </c>
    </row>
    <row r="38" spans="2:11" ht="15" customHeight="1" x14ac:dyDescent="0.3">
      <c r="B38" s="61" t="s">
        <v>232</v>
      </c>
      <c r="C38" s="61"/>
      <c r="D38" s="61"/>
      <c r="E38" s="61"/>
      <c r="F38" s="61"/>
      <c r="G38" s="61"/>
      <c r="H38" s="61"/>
      <c r="I38" s="61"/>
      <c r="J38" s="61"/>
      <c r="K38" s="61"/>
    </row>
    <row r="39" spans="2:11" ht="15" customHeight="1" x14ac:dyDescent="0.3">
      <c r="B39" s="11" t="s">
        <v>277</v>
      </c>
      <c r="C39" s="23">
        <f>J13</f>
        <v>6082409.8974424796</v>
      </c>
    </row>
    <row r="40" spans="2:11" ht="15" customHeight="1" x14ac:dyDescent="0.3">
      <c r="B40" s="11" t="s">
        <v>171</v>
      </c>
      <c r="C40" s="32" t="s">
        <v>263</v>
      </c>
    </row>
    <row r="41" spans="2:11" ht="15" customHeight="1" x14ac:dyDescent="0.3">
      <c r="B41" s="31" t="s">
        <v>173</v>
      </c>
      <c r="C41" s="33">
        <f>C39*C40</f>
        <v>608240.98974424799</v>
      </c>
    </row>
    <row r="43" spans="2:11" ht="15" customHeight="1" x14ac:dyDescent="0.3">
      <c r="B43" s="1" t="s">
        <v>235</v>
      </c>
      <c r="C43" s="33">
        <f>C44*C45</f>
        <v>0</v>
      </c>
    </row>
    <row r="44" spans="2:11" ht="15" customHeight="1" x14ac:dyDescent="0.3">
      <c r="B44" s="11" t="s">
        <v>176</v>
      </c>
      <c r="C44" s="17">
        <v>6200000</v>
      </c>
    </row>
    <row r="45" spans="2:11" ht="15" customHeight="1" x14ac:dyDescent="0.3">
      <c r="B45" s="11" t="s">
        <v>236</v>
      </c>
      <c r="C45" s="35">
        <f>'⚙️ Assumptions'!E36</f>
        <v>0</v>
      </c>
    </row>
    <row r="46" spans="2:11" ht="15" customHeight="1" x14ac:dyDescent="0.3">
      <c r="B46" s="11" t="s">
        <v>237</v>
      </c>
      <c r="C46" s="33">
        <f>C44*C45</f>
        <v>0</v>
      </c>
    </row>
    <row r="47" spans="2:11" ht="15" customHeight="1" x14ac:dyDescent="0.3">
      <c r="B47" s="31" t="s">
        <v>181</v>
      </c>
      <c r="C47" s="33">
        <f>C44*C45</f>
        <v>0</v>
      </c>
    </row>
    <row r="49" spans="2:11" ht="15" customHeight="1" x14ac:dyDescent="0.3">
      <c r="B49" s="62" t="s">
        <v>278</v>
      </c>
      <c r="C49" s="62"/>
      <c r="D49" s="62"/>
      <c r="E49" s="62"/>
      <c r="F49" s="62"/>
      <c r="G49" s="62"/>
      <c r="H49" s="62"/>
      <c r="I49" s="62"/>
      <c r="J49" s="62"/>
      <c r="K49" s="62"/>
    </row>
    <row r="50" spans="2:11" ht="15" customHeight="1" x14ac:dyDescent="0.3">
      <c r="B50" s="3" t="s">
        <v>183</v>
      </c>
      <c r="C50" s="3" t="s">
        <v>184</v>
      </c>
      <c r="D50" s="3" t="s">
        <v>185</v>
      </c>
    </row>
    <row r="51" spans="2:11" ht="18" customHeight="1" x14ac:dyDescent="0.3">
      <c r="B51" s="11" t="s">
        <v>279</v>
      </c>
      <c r="C51" s="23">
        <f>J22</f>
        <v>-13462526.273266941</v>
      </c>
      <c r="D51" s="5" t="s">
        <v>240</v>
      </c>
    </row>
    <row r="52" spans="2:11" ht="18" customHeight="1" x14ac:dyDescent="0.3">
      <c r="B52" s="11" t="s">
        <v>280</v>
      </c>
      <c r="C52" s="23">
        <f>J13</f>
        <v>6082409.8974424796</v>
      </c>
      <c r="D52" s="5" t="s">
        <v>281</v>
      </c>
    </row>
    <row r="53" spans="2:11" ht="18" customHeight="1" x14ac:dyDescent="0.3">
      <c r="B53" s="11" t="s">
        <v>190</v>
      </c>
      <c r="C53" s="23">
        <f>I36</f>
        <v>0</v>
      </c>
      <c r="D53" s="5" t="s">
        <v>282</v>
      </c>
    </row>
    <row r="54" spans="2:11" ht="18" customHeight="1" x14ac:dyDescent="0.3">
      <c r="B54" s="11" t="s">
        <v>196</v>
      </c>
      <c r="C54" s="23">
        <f>C41</f>
        <v>608240.98974424799</v>
      </c>
      <c r="D54" s="5" t="s">
        <v>243</v>
      </c>
    </row>
    <row r="55" spans="2:11" ht="18" customHeight="1" x14ac:dyDescent="0.3">
      <c r="B55" s="11" t="s">
        <v>198</v>
      </c>
      <c r="C55" s="23">
        <f>C47</f>
        <v>0</v>
      </c>
      <c r="D55" s="5" t="s">
        <v>199</v>
      </c>
    </row>
    <row r="56" spans="2:11" ht="21.75" customHeight="1" x14ac:dyDescent="0.3">
      <c r="B56" s="36" t="s">
        <v>283</v>
      </c>
      <c r="C56" s="33">
        <f>SUM(C51:C55)</f>
        <v>-6771875.3860802138</v>
      </c>
    </row>
  </sheetData>
  <mergeCells count="9">
    <mergeCell ref="B26:J26"/>
    <mergeCell ref="B27:J27"/>
    <mergeCell ref="B38:K38"/>
    <mergeCell ref="B49:K49"/>
    <mergeCell ref="B2:K2"/>
    <mergeCell ref="B4:K4"/>
    <mergeCell ref="B6:K6"/>
    <mergeCell ref="B7:K7"/>
    <mergeCell ref="B24:K24"/>
  </mergeCell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1:K56"/>
  <sheetViews>
    <sheetView showGridLines="0" zoomScaleNormal="100" workbookViewId="0">
      <pane xSplit="1" ySplit="4" topLeftCell="B44" activePane="bottomRight" state="frozen"/>
      <selection pane="topRight" activeCell="B1" sqref="B1"/>
      <selection pane="bottomLeft" activeCell="A5" sqref="A5"/>
      <selection pane="bottomRight" activeCell="F47" sqref="F47"/>
    </sheetView>
  </sheetViews>
  <sheetFormatPr defaultColWidth="8.6640625" defaultRowHeight="14.4" x14ac:dyDescent="0.3"/>
  <cols>
    <col min="1" max="1" width="3" customWidth="1"/>
    <col min="2" max="2" width="38" customWidth="1"/>
    <col min="3" max="11" width="18" customWidth="1"/>
  </cols>
  <sheetData>
    <row r="1" spans="2:11" ht="7.5" customHeight="1" x14ac:dyDescent="0.3"/>
    <row r="2" spans="2:11" ht="42" customHeight="1" x14ac:dyDescent="0.3">
      <c r="B2" s="60" t="s">
        <v>284</v>
      </c>
      <c r="C2" s="60"/>
      <c r="D2" s="60"/>
      <c r="E2" s="60"/>
      <c r="F2" s="60"/>
      <c r="G2" s="60"/>
      <c r="H2" s="60"/>
      <c r="I2" s="60"/>
      <c r="J2" s="60"/>
      <c r="K2" s="60"/>
    </row>
    <row r="3" spans="2:11" ht="7.5" customHeight="1" x14ac:dyDescent="0.3"/>
    <row r="4" spans="2:11" ht="15" customHeight="1" x14ac:dyDescent="0.3">
      <c r="B4" s="57" t="s">
        <v>285</v>
      </c>
      <c r="C4" s="57"/>
      <c r="D4" s="57"/>
      <c r="E4" s="57"/>
      <c r="F4" s="57"/>
      <c r="G4" s="57"/>
      <c r="H4" s="57"/>
      <c r="I4" s="57"/>
      <c r="J4" s="57"/>
      <c r="K4" s="57"/>
    </row>
    <row r="5" spans="2:11" ht="7.5" customHeight="1" x14ac:dyDescent="0.3"/>
    <row r="6" spans="2:11" ht="15" customHeight="1" x14ac:dyDescent="0.3">
      <c r="B6" s="61" t="s">
        <v>247</v>
      </c>
      <c r="C6" s="61"/>
      <c r="D6" s="61"/>
      <c r="E6" s="61"/>
      <c r="F6" s="61"/>
      <c r="G6" s="61"/>
      <c r="H6" s="61"/>
      <c r="I6" s="61"/>
      <c r="J6" s="61"/>
      <c r="K6" s="61"/>
    </row>
    <row r="7" spans="2:11" ht="15" customHeight="1" x14ac:dyDescent="0.3">
      <c r="B7" s="57" t="s">
        <v>286</v>
      </c>
      <c r="C7" s="57"/>
      <c r="D7" s="57"/>
      <c r="E7" s="57"/>
      <c r="F7" s="57"/>
      <c r="G7" s="57"/>
      <c r="H7" s="57"/>
      <c r="I7" s="57"/>
      <c r="J7" s="57"/>
      <c r="K7" s="57"/>
    </row>
    <row r="8" spans="2:11" ht="34.5" customHeight="1" x14ac:dyDescent="0.3">
      <c r="B8" s="16" t="s">
        <v>249</v>
      </c>
      <c r="C8" s="16" t="s">
        <v>250</v>
      </c>
      <c r="D8" s="16" t="s">
        <v>251</v>
      </c>
      <c r="E8" s="16" t="s">
        <v>253</v>
      </c>
      <c r="F8" s="16" t="s">
        <v>254</v>
      </c>
      <c r="G8" s="16" t="s">
        <v>210</v>
      </c>
      <c r="H8" s="16" t="s">
        <v>255</v>
      </c>
      <c r="I8" s="16" t="s">
        <v>256</v>
      </c>
    </row>
    <row r="9" spans="2:11" ht="18" customHeight="1" x14ac:dyDescent="0.3">
      <c r="B9" s="11" t="s">
        <v>287</v>
      </c>
      <c r="C9" s="12">
        <v>28</v>
      </c>
      <c r="D9" s="17">
        <v>600</v>
      </c>
      <c r="E9" s="13">
        <v>0.1</v>
      </c>
      <c r="F9" s="13">
        <v>0.06</v>
      </c>
      <c r="G9" s="15">
        <v>12</v>
      </c>
      <c r="H9" s="40">
        <f>IF((E9+F9)=0,G9,(1-(1-E9-F9)^G9*(1+0.04)^(-G9))/(E9+F9+0.04))</f>
        <v>4.614591431746196</v>
      </c>
      <c r="I9" s="41">
        <f>C9*D9*52*H9</f>
        <v>4031307.0747734769</v>
      </c>
      <c r="J9" s="44"/>
    </row>
    <row r="10" spans="2:11" ht="18" customHeight="1" x14ac:dyDescent="0.3">
      <c r="B10" s="11" t="s">
        <v>288</v>
      </c>
      <c r="C10" s="12">
        <v>35</v>
      </c>
      <c r="D10" s="17">
        <v>650</v>
      </c>
      <c r="E10" s="13">
        <v>0.06</v>
      </c>
      <c r="F10" s="13">
        <v>0.1</v>
      </c>
      <c r="G10" s="15">
        <v>8</v>
      </c>
      <c r="H10" s="40">
        <f>IF((E10+F10)=0,G10,(1-(1-E10-F10)^G10*(1+0.04)^(-G10))/(E10+F10+0.04))</f>
        <v>4.0943975715553185</v>
      </c>
      <c r="I10" s="41">
        <f>C10*D10*52*H10</f>
        <v>4843672.3271499416</v>
      </c>
      <c r="J10" s="44"/>
    </row>
    <row r="11" spans="2:11" ht="18" customHeight="1" x14ac:dyDescent="0.3">
      <c r="B11" s="11" t="s">
        <v>289</v>
      </c>
      <c r="C11" s="12">
        <v>42</v>
      </c>
      <c r="D11" s="17">
        <v>700</v>
      </c>
      <c r="E11" s="13">
        <v>0.03</v>
      </c>
      <c r="F11" s="13">
        <v>0.15</v>
      </c>
      <c r="G11" s="15">
        <v>5</v>
      </c>
      <c r="H11" s="40">
        <f>IF((E11+F11)=0,G11,(1-(1-E11-F11)^G11*(1+0.04)^(-G11))/(E11+F11+0.04))</f>
        <v>3.1603585150827658</v>
      </c>
      <c r="I11" s="41">
        <f>C11*D11*52*H11</f>
        <v>4831556.0978585323</v>
      </c>
      <c r="J11" s="44"/>
    </row>
    <row r="12" spans="2:11" ht="18" customHeight="1" x14ac:dyDescent="0.3">
      <c r="B12" s="11" t="s">
        <v>290</v>
      </c>
      <c r="C12" s="12">
        <v>30</v>
      </c>
      <c r="D12" s="17">
        <v>750</v>
      </c>
      <c r="E12" s="13">
        <v>0.01</v>
      </c>
      <c r="F12" s="13">
        <v>0.25</v>
      </c>
      <c r="G12" s="15">
        <v>3</v>
      </c>
      <c r="H12" s="40">
        <f>IF((E12+F12)=0,G12,(1-(1-E12-F12)^G12*(1+0.04)^(-G12))/(E12+F12+0.04))</f>
        <v>2.1325244651797908</v>
      </c>
      <c r="I12" s="41">
        <f>C12*D12*52*H12</f>
        <v>2495053.6242603553</v>
      </c>
      <c r="J12" s="44"/>
    </row>
    <row r="13" spans="2:11" ht="19.5" customHeight="1" x14ac:dyDescent="0.3">
      <c r="B13" s="21" t="s">
        <v>261</v>
      </c>
      <c r="I13" s="33">
        <f>SUM(I9:I12)</f>
        <v>16201589.124042306</v>
      </c>
      <c r="J13" s="45"/>
    </row>
    <row r="14" spans="2:11" ht="15" customHeight="1" x14ac:dyDescent="0.3"/>
    <row r="15" spans="2:11" ht="15" customHeight="1" x14ac:dyDescent="0.3">
      <c r="B15" s="1" t="s">
        <v>291</v>
      </c>
      <c r="C15" s="23">
        <f>I13</f>
        <v>16201589.124042306</v>
      </c>
      <c r="D15" s="32" t="s">
        <v>292</v>
      </c>
    </row>
    <row r="16" spans="2:11" ht="15" customHeight="1" x14ac:dyDescent="0.3">
      <c r="B16" s="2" t="s">
        <v>293</v>
      </c>
      <c r="C16" s="33">
        <f>C15*D15</f>
        <v>1944190.6948850767</v>
      </c>
    </row>
    <row r="17" spans="2:11" ht="34.5" customHeight="1" x14ac:dyDescent="0.3">
      <c r="B17" s="16" t="s">
        <v>265</v>
      </c>
      <c r="C17" s="16" t="s">
        <v>266</v>
      </c>
      <c r="D17" s="16" t="s">
        <v>102</v>
      </c>
      <c r="E17" s="16" t="s">
        <v>208</v>
      </c>
      <c r="F17" s="16" t="s">
        <v>294</v>
      </c>
      <c r="G17" s="16" t="s">
        <v>268</v>
      </c>
      <c r="H17" s="16" t="s">
        <v>251</v>
      </c>
      <c r="I17" s="16" t="s">
        <v>210</v>
      </c>
      <c r="J17" s="16" t="s">
        <v>269</v>
      </c>
    </row>
    <row r="18" spans="2:11" ht="18" customHeight="1" x14ac:dyDescent="0.3">
      <c r="B18" s="11" t="s">
        <v>295</v>
      </c>
      <c r="C18" s="12">
        <v>250</v>
      </c>
      <c r="D18" s="17">
        <v>1800</v>
      </c>
      <c r="E18" s="17">
        <v>120</v>
      </c>
      <c r="F18" s="37">
        <v>3.0000000000000001E-3</v>
      </c>
      <c r="G18" s="43">
        <v>5</v>
      </c>
      <c r="H18" s="17">
        <v>500</v>
      </c>
      <c r="I18" s="15">
        <v>25</v>
      </c>
      <c r="J18" s="41">
        <f>C18*(F18*H18*52*((1-(1+0.04)^(-G18))/0.04)+E18*((1-(1+0.04)^(-I18))/0.04)-D18*((1-(1+0.04)^(-I18))/0.04))</f>
        <v>-6474463.0408785651</v>
      </c>
    </row>
    <row r="19" spans="2:11" ht="18" customHeight="1" x14ac:dyDescent="0.3">
      <c r="B19" s="11" t="s">
        <v>296</v>
      </c>
      <c r="C19" s="12">
        <v>310</v>
      </c>
      <c r="D19" s="17">
        <v>2400</v>
      </c>
      <c r="E19" s="17">
        <v>140</v>
      </c>
      <c r="F19" s="37">
        <v>1.2E-2</v>
      </c>
      <c r="G19" s="43">
        <v>6</v>
      </c>
      <c r="H19" s="17">
        <v>600</v>
      </c>
      <c r="I19" s="15">
        <v>16</v>
      </c>
      <c r="J19" s="41">
        <f>C19*(F19*H19*52*((1-(1+0.04)^(-G19))/0.04)+E19*((1-(1+0.04)^(-I19))/0.04)-D19*((1-(1+0.04)^(-I19))/0.04))</f>
        <v>-7555174.9307210855</v>
      </c>
    </row>
    <row r="20" spans="2:11" ht="18" customHeight="1" x14ac:dyDescent="0.3">
      <c r="B20" s="11" t="s">
        <v>297</v>
      </c>
      <c r="C20" s="12">
        <v>180</v>
      </c>
      <c r="D20" s="17">
        <v>3200</v>
      </c>
      <c r="E20" s="17">
        <v>160</v>
      </c>
      <c r="F20" s="37">
        <v>0.04</v>
      </c>
      <c r="G20" s="43">
        <v>7</v>
      </c>
      <c r="H20" s="17">
        <v>700</v>
      </c>
      <c r="I20" s="15">
        <v>8</v>
      </c>
      <c r="J20" s="41">
        <f>C20*(F20*H20*52*((1-(1+0.04)^(-G20))/0.04)+E20*((1-(1+0.04)^(-I20))/0.04)-D20*((1-(1+0.04)^(-I20))/0.04))</f>
        <v>-2111139.5076727807</v>
      </c>
    </row>
    <row r="21" spans="2:11" ht="18" customHeight="1" x14ac:dyDescent="0.3">
      <c r="B21" s="11" t="s">
        <v>298</v>
      </c>
      <c r="C21" s="12">
        <v>90</v>
      </c>
      <c r="D21" s="17">
        <v>4000</v>
      </c>
      <c r="E21" s="17">
        <v>180</v>
      </c>
      <c r="F21" s="37">
        <v>0.09</v>
      </c>
      <c r="G21" s="43">
        <v>8</v>
      </c>
      <c r="H21" s="17">
        <v>750</v>
      </c>
      <c r="I21" s="15">
        <v>4</v>
      </c>
      <c r="J21" s="41">
        <f>C21*(F21*H21*52*((1-(1+0.04)^(-G21))/0.04)+E21*((1-(1+0.04)^(-I21))/0.04)-D21*((1-(1+0.04)^(-I21))/0.04))</f>
        <v>878916.1278973252</v>
      </c>
    </row>
    <row r="22" spans="2:11" ht="19.5" customHeight="1" x14ac:dyDescent="0.3">
      <c r="B22" s="21" t="s">
        <v>274</v>
      </c>
      <c r="J22" s="33">
        <f>SUM(J18:J21)</f>
        <v>-15261861.351375105</v>
      </c>
    </row>
    <row r="24" spans="2:11" ht="15" customHeight="1" x14ac:dyDescent="0.3">
      <c r="B24" s="61" t="s">
        <v>123</v>
      </c>
      <c r="C24" s="61"/>
      <c r="D24" s="61"/>
      <c r="E24" s="61"/>
      <c r="F24" s="61"/>
      <c r="G24" s="61"/>
      <c r="H24" s="61"/>
      <c r="I24" s="61"/>
      <c r="J24" s="61"/>
      <c r="K24" s="61"/>
    </row>
    <row r="25" spans="2:11" ht="15" customHeight="1" x14ac:dyDescent="0.3">
      <c r="B25" s="57" t="s">
        <v>299</v>
      </c>
      <c r="C25" s="57"/>
      <c r="D25" s="57"/>
      <c r="E25" s="57"/>
      <c r="F25" s="57"/>
      <c r="G25" s="57"/>
      <c r="H25" s="57"/>
      <c r="I25" s="57"/>
      <c r="J25" s="57"/>
      <c r="K25" s="57"/>
    </row>
    <row r="26" spans="2:11" ht="15" customHeight="1" x14ac:dyDescent="0.3">
      <c r="B26" s="63" t="s">
        <v>300</v>
      </c>
      <c r="C26" s="63"/>
      <c r="D26" s="63"/>
      <c r="E26" s="63"/>
      <c r="F26" s="63"/>
      <c r="G26" s="63"/>
      <c r="H26" s="63"/>
      <c r="I26" s="63"/>
      <c r="J26" s="63"/>
    </row>
    <row r="27" spans="2:11" ht="15" customHeight="1" x14ac:dyDescent="0.3">
      <c r="B27" s="57" t="s">
        <v>126</v>
      </c>
      <c r="C27" s="57"/>
      <c r="D27" s="57"/>
      <c r="E27" s="57"/>
      <c r="F27" s="57"/>
      <c r="G27" s="57"/>
      <c r="H27" s="57"/>
      <c r="I27" s="57"/>
      <c r="J27" s="57"/>
    </row>
    <row r="28" spans="2:11" ht="19.5" customHeight="1" x14ac:dyDescent="0.3">
      <c r="B28" s="24" t="s">
        <v>127</v>
      </c>
      <c r="C28" s="25" t="s">
        <v>128</v>
      </c>
      <c r="D28" s="25" t="s">
        <v>129</v>
      </c>
      <c r="E28" s="25" t="s">
        <v>130</v>
      </c>
      <c r="F28" s="25" t="s">
        <v>131</v>
      </c>
      <c r="G28" s="25" t="s">
        <v>132</v>
      </c>
      <c r="H28" s="25" t="s">
        <v>133</v>
      </c>
      <c r="I28" s="26" t="s">
        <v>134</v>
      </c>
      <c r="J28" s="26" t="s">
        <v>135</v>
      </c>
      <c r="K28" s="26" t="s">
        <v>136</v>
      </c>
    </row>
    <row r="29" spans="2:11" ht="18" customHeight="1" x14ac:dyDescent="0.3">
      <c r="B29" s="11" t="s">
        <v>137</v>
      </c>
      <c r="C29" s="15">
        <v>310</v>
      </c>
      <c r="D29" s="15">
        <v>1705</v>
      </c>
      <c r="E29" s="15">
        <v>5425</v>
      </c>
      <c r="F29" s="15">
        <v>10850</v>
      </c>
      <c r="G29" s="15">
        <v>15748</v>
      </c>
      <c r="H29" s="15">
        <v>17005</v>
      </c>
      <c r="I29" s="18">
        <f>H29</f>
        <v>17005</v>
      </c>
      <c r="J29" s="27">
        <f t="shared" ref="J29:J34" si="0">H29</f>
        <v>17005</v>
      </c>
      <c r="K29" s="20">
        <f t="shared" ref="K29:K34" si="1">J29-I29</f>
        <v>0</v>
      </c>
    </row>
    <row r="30" spans="2:11" ht="18" customHeight="1" x14ac:dyDescent="0.3">
      <c r="B30" s="11" t="s">
        <v>138</v>
      </c>
      <c r="C30" s="15">
        <v>340</v>
      </c>
      <c r="D30" s="15">
        <v>1870</v>
      </c>
      <c r="E30" s="15">
        <v>5952</v>
      </c>
      <c r="F30" s="15">
        <v>11904</v>
      </c>
      <c r="G30" s="15">
        <v>17260</v>
      </c>
      <c r="H30" s="28">
        <f>G30*H35</f>
        <v>18640.800000000003</v>
      </c>
      <c r="I30" s="18">
        <f>G30</f>
        <v>17260</v>
      </c>
      <c r="J30" s="27">
        <f t="shared" si="0"/>
        <v>18640.800000000003</v>
      </c>
      <c r="K30" s="20">
        <f t="shared" si="1"/>
        <v>1380.8000000000029</v>
      </c>
    </row>
    <row r="31" spans="2:11" ht="18" customHeight="1" x14ac:dyDescent="0.3">
      <c r="B31" s="11" t="s">
        <v>139</v>
      </c>
      <c r="C31" s="15">
        <v>370</v>
      </c>
      <c r="D31" s="15">
        <v>2035</v>
      </c>
      <c r="E31" s="15">
        <v>6479</v>
      </c>
      <c r="F31" s="15">
        <v>12958</v>
      </c>
      <c r="G31" s="28">
        <f>F31*G35</f>
        <v>15549.599999999999</v>
      </c>
      <c r="H31" s="28">
        <f>G31*H35</f>
        <v>16793.567999999999</v>
      </c>
      <c r="I31" s="18">
        <f>F31</f>
        <v>12958</v>
      </c>
      <c r="J31" s="27">
        <f t="shared" si="0"/>
        <v>16793.567999999999</v>
      </c>
      <c r="K31" s="20">
        <f t="shared" si="1"/>
        <v>3835.5679999999993</v>
      </c>
    </row>
    <row r="32" spans="2:11" ht="18" customHeight="1" x14ac:dyDescent="0.3">
      <c r="B32" s="11" t="s">
        <v>140</v>
      </c>
      <c r="C32" s="15">
        <v>400</v>
      </c>
      <c r="D32" s="15">
        <v>2200</v>
      </c>
      <c r="E32" s="15">
        <v>7007</v>
      </c>
      <c r="F32" s="28">
        <f>E32*F35</f>
        <v>10160.15</v>
      </c>
      <c r="G32" s="28">
        <f>F32*G35</f>
        <v>12192.179999999998</v>
      </c>
      <c r="H32" s="28">
        <f>G32*H35</f>
        <v>13167.554399999999</v>
      </c>
      <c r="I32" s="18">
        <f>E32</f>
        <v>7007</v>
      </c>
      <c r="J32" s="27">
        <f t="shared" si="0"/>
        <v>13167.554399999999</v>
      </c>
      <c r="K32" s="20">
        <f t="shared" si="1"/>
        <v>6160.5543999999991</v>
      </c>
    </row>
    <row r="33" spans="2:11" ht="18" customHeight="1" x14ac:dyDescent="0.3">
      <c r="B33" s="11" t="s">
        <v>141</v>
      </c>
      <c r="C33" s="15">
        <v>430</v>
      </c>
      <c r="D33" s="15">
        <v>2365</v>
      </c>
      <c r="E33" s="28">
        <f>D33*E35</f>
        <v>4730</v>
      </c>
      <c r="F33" s="28">
        <f>E33*F35</f>
        <v>6858.5</v>
      </c>
      <c r="G33" s="28">
        <f>F33*G35</f>
        <v>8230.1999999999989</v>
      </c>
      <c r="H33" s="28">
        <f>G33*H35</f>
        <v>8888.616</v>
      </c>
      <c r="I33" s="18">
        <f>D33</f>
        <v>2365</v>
      </c>
      <c r="J33" s="27">
        <f t="shared" si="0"/>
        <v>8888.616</v>
      </c>
      <c r="K33" s="20">
        <f t="shared" si="1"/>
        <v>6523.616</v>
      </c>
    </row>
    <row r="34" spans="2:11" ht="18" customHeight="1" x14ac:dyDescent="0.3">
      <c r="B34" s="11" t="s">
        <v>142</v>
      </c>
      <c r="C34" s="15">
        <v>460</v>
      </c>
      <c r="D34" s="28">
        <f>C34*D35</f>
        <v>1426</v>
      </c>
      <c r="E34" s="28">
        <f>D34*E35</f>
        <v>2852</v>
      </c>
      <c r="F34" s="28">
        <f>E34*F35</f>
        <v>4135.3999999999996</v>
      </c>
      <c r="G34" s="28">
        <f>F34*G35</f>
        <v>4962.4799999999996</v>
      </c>
      <c r="H34" s="28">
        <f>G34*H35</f>
        <v>5359.4784</v>
      </c>
      <c r="I34" s="18">
        <f>C34</f>
        <v>460</v>
      </c>
      <c r="J34" s="27">
        <f t="shared" si="0"/>
        <v>5359.4784</v>
      </c>
      <c r="K34" s="20">
        <f t="shared" si="1"/>
        <v>4899.4784</v>
      </c>
    </row>
    <row r="35" spans="2:11" ht="18" customHeight="1" x14ac:dyDescent="0.3">
      <c r="B35" s="29" t="s">
        <v>143</v>
      </c>
      <c r="C35" s="30">
        <f>'⚙️ Assumptions'!F16</f>
        <v>5.5</v>
      </c>
      <c r="D35" s="30">
        <f>'⚙️ Assumptions'!F17</f>
        <v>3.1</v>
      </c>
      <c r="E35" s="30">
        <f>'⚙️ Assumptions'!F18</f>
        <v>2</v>
      </c>
      <c r="F35" s="30">
        <f>'⚙️ Assumptions'!F19</f>
        <v>1.45</v>
      </c>
      <c r="G35" s="30">
        <f>'⚙️ Assumptions'!F20</f>
        <v>1.2</v>
      </c>
      <c r="H35" s="30">
        <f>'⚙️ Assumptions'!F21</f>
        <v>1.08</v>
      </c>
    </row>
    <row r="36" spans="2:11" ht="19.5" customHeight="1" x14ac:dyDescent="0.3">
      <c r="B36" s="21" t="s">
        <v>144</v>
      </c>
      <c r="K36" s="22">
        <f>SUM(K29:K34)</f>
        <v>22800.016800000001</v>
      </c>
    </row>
    <row r="38" spans="2:11" ht="15" customHeight="1" x14ac:dyDescent="0.3">
      <c r="B38" s="61" t="s">
        <v>232</v>
      </c>
      <c r="C38" s="61"/>
      <c r="D38" s="61"/>
      <c r="E38" s="61"/>
      <c r="F38" s="61"/>
      <c r="G38" s="61"/>
      <c r="H38" s="61"/>
      <c r="I38" s="61"/>
      <c r="J38" s="61"/>
      <c r="K38" s="61"/>
    </row>
    <row r="39" spans="2:11" ht="15" customHeight="1" x14ac:dyDescent="0.3">
      <c r="B39" s="11" t="s">
        <v>277</v>
      </c>
      <c r="C39" s="23">
        <f>I13</f>
        <v>16201589.124042306</v>
      </c>
    </row>
    <row r="40" spans="2:11" ht="15" customHeight="1" x14ac:dyDescent="0.3">
      <c r="B40" s="11" t="s">
        <v>171</v>
      </c>
      <c r="C40" s="32" t="s">
        <v>292</v>
      </c>
    </row>
    <row r="41" spans="2:11" ht="15" customHeight="1" x14ac:dyDescent="0.3">
      <c r="B41" s="31" t="s">
        <v>173</v>
      </c>
      <c r="C41" s="33">
        <f>C39*C40</f>
        <v>1944190.6948850767</v>
      </c>
    </row>
    <row r="43" spans="2:11" ht="15" customHeight="1" x14ac:dyDescent="0.3">
      <c r="B43" s="1" t="s">
        <v>235</v>
      </c>
      <c r="C43" s="33">
        <f>C44*C45</f>
        <v>0</v>
      </c>
    </row>
    <row r="44" spans="2:11" ht="15" customHeight="1" x14ac:dyDescent="0.3">
      <c r="B44" s="11" t="s">
        <v>176</v>
      </c>
      <c r="C44" s="17">
        <v>3800000</v>
      </c>
    </row>
    <row r="45" spans="2:11" ht="15" customHeight="1" x14ac:dyDescent="0.3">
      <c r="B45" s="11" t="s">
        <v>236</v>
      </c>
      <c r="C45" s="35">
        <f>'⚙️ Assumptions'!F36</f>
        <v>0</v>
      </c>
    </row>
    <row r="46" spans="2:11" ht="15" customHeight="1" x14ac:dyDescent="0.3">
      <c r="B46" s="11" t="s">
        <v>237</v>
      </c>
      <c r="C46" s="33">
        <f>C44*C45</f>
        <v>0</v>
      </c>
    </row>
    <row r="47" spans="2:11" ht="15" customHeight="1" x14ac:dyDescent="0.3">
      <c r="B47" s="31" t="s">
        <v>181</v>
      </c>
      <c r="C47" s="33">
        <f>C44*C45</f>
        <v>0</v>
      </c>
    </row>
    <row r="49" spans="2:11" ht="15" customHeight="1" x14ac:dyDescent="0.3">
      <c r="B49" s="62" t="s">
        <v>301</v>
      </c>
      <c r="C49" s="62"/>
      <c r="D49" s="62"/>
      <c r="E49" s="62"/>
      <c r="F49" s="62"/>
      <c r="G49" s="62"/>
      <c r="H49" s="62"/>
      <c r="I49" s="62"/>
      <c r="J49" s="62"/>
      <c r="K49" s="62"/>
    </row>
    <row r="50" spans="2:11" ht="15" customHeight="1" x14ac:dyDescent="0.3">
      <c r="B50" s="3" t="s">
        <v>183</v>
      </c>
      <c r="C50" s="3" t="s">
        <v>184</v>
      </c>
      <c r="D50" s="3" t="s">
        <v>185</v>
      </c>
    </row>
    <row r="51" spans="2:11" ht="18" customHeight="1" x14ac:dyDescent="0.3">
      <c r="B51" s="11" t="s">
        <v>279</v>
      </c>
      <c r="C51" s="23">
        <f>J22</f>
        <v>-15261861.351375105</v>
      </c>
      <c r="D51" s="5" t="s">
        <v>243</v>
      </c>
    </row>
    <row r="52" spans="2:11" ht="18" customHeight="1" x14ac:dyDescent="0.3">
      <c r="B52" s="11" t="s">
        <v>280</v>
      </c>
      <c r="C52" s="23">
        <f>I13</f>
        <v>16201589.124042306</v>
      </c>
      <c r="D52" s="5" t="s">
        <v>281</v>
      </c>
    </row>
    <row r="53" spans="2:11" ht="18" customHeight="1" x14ac:dyDescent="0.3">
      <c r="B53" s="11" t="s">
        <v>190</v>
      </c>
      <c r="C53" s="23">
        <f>K36</f>
        <v>22800.016800000001</v>
      </c>
      <c r="D53" s="5" t="s">
        <v>302</v>
      </c>
    </row>
    <row r="54" spans="2:11" ht="18" customHeight="1" x14ac:dyDescent="0.3">
      <c r="B54" s="11" t="s">
        <v>196</v>
      </c>
      <c r="C54" s="23">
        <f>C41</f>
        <v>1944190.6948850767</v>
      </c>
      <c r="D54" s="5" t="s">
        <v>243</v>
      </c>
    </row>
    <row r="55" spans="2:11" ht="18" customHeight="1" x14ac:dyDescent="0.3">
      <c r="B55" s="11" t="s">
        <v>198</v>
      </c>
      <c r="C55" s="23">
        <f>C47</f>
        <v>0</v>
      </c>
      <c r="D55" s="5" t="s">
        <v>199</v>
      </c>
    </row>
    <row r="56" spans="2:11" ht="21.75" customHeight="1" x14ac:dyDescent="0.3">
      <c r="B56" s="36" t="s">
        <v>303</v>
      </c>
      <c r="C56" s="68">
        <f>SUM(C51:C55)</f>
        <v>2906718.4843522781</v>
      </c>
    </row>
  </sheetData>
  <mergeCells count="10">
    <mergeCell ref="B2:K2"/>
    <mergeCell ref="B4:K4"/>
    <mergeCell ref="B6:K6"/>
    <mergeCell ref="B7:K7"/>
    <mergeCell ref="B24:K24"/>
    <mergeCell ref="B25:K25"/>
    <mergeCell ref="B26:J26"/>
    <mergeCell ref="B27:J27"/>
    <mergeCell ref="B38:K38"/>
    <mergeCell ref="B49:K49"/>
  </mergeCells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1:H25"/>
  <sheetViews>
    <sheetView showGridLines="0" zoomScaleNormal="100"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B21" sqref="B21"/>
    </sheetView>
  </sheetViews>
  <sheetFormatPr defaultColWidth="8.6640625" defaultRowHeight="14.4" x14ac:dyDescent="0.3"/>
  <cols>
    <col min="1" max="1" width="3" customWidth="1"/>
    <col min="2" max="2" width="42.5546875" bestFit="1" customWidth="1"/>
    <col min="3" max="7" width="16" customWidth="1"/>
    <col min="8" max="8" width="38.6640625" bestFit="1" customWidth="1"/>
  </cols>
  <sheetData>
    <row r="1" spans="2:8" ht="7.5" customHeight="1" x14ac:dyDescent="0.3"/>
    <row r="2" spans="2:8" ht="48" customHeight="1" x14ac:dyDescent="0.3">
      <c r="B2" s="58" t="s">
        <v>304</v>
      </c>
      <c r="C2" s="58"/>
      <c r="D2" s="58"/>
      <c r="E2" s="58"/>
      <c r="F2" s="58"/>
      <c r="G2" s="58"/>
      <c r="H2" s="58"/>
    </row>
    <row r="3" spans="2:8" ht="7.5" customHeight="1" x14ac:dyDescent="0.3"/>
    <row r="4" spans="2:8" ht="18.75" customHeight="1" x14ac:dyDescent="0.3">
      <c r="B4" s="57" t="s">
        <v>305</v>
      </c>
      <c r="C4" s="57"/>
      <c r="D4" s="57"/>
      <c r="E4" s="57"/>
      <c r="F4" s="57"/>
      <c r="G4" s="57"/>
      <c r="H4" s="57"/>
    </row>
    <row r="5" spans="2:8" ht="7.5" customHeight="1" x14ac:dyDescent="0.3"/>
    <row r="6" spans="2:8" ht="15" customHeight="1" x14ac:dyDescent="0.3">
      <c r="B6" s="61" t="s">
        <v>306</v>
      </c>
      <c r="C6" s="61"/>
      <c r="D6" s="61"/>
      <c r="E6" s="61"/>
      <c r="F6" s="61"/>
      <c r="G6" s="61"/>
      <c r="H6" s="61"/>
    </row>
    <row r="7" spans="2:8" ht="30" customHeight="1" x14ac:dyDescent="0.3">
      <c r="B7" s="46" t="s">
        <v>307</v>
      </c>
      <c r="C7" s="46" t="s">
        <v>308</v>
      </c>
      <c r="D7" s="46" t="s">
        <v>309</v>
      </c>
      <c r="E7" s="46" t="s">
        <v>310</v>
      </c>
      <c r="F7" s="46" t="s">
        <v>311</v>
      </c>
      <c r="G7" s="46" t="s">
        <v>312</v>
      </c>
      <c r="H7" s="46" t="s">
        <v>313</v>
      </c>
    </row>
    <row r="8" spans="2:8" ht="21.75" customHeight="1" x14ac:dyDescent="0.3">
      <c r="B8" s="11" t="s">
        <v>314</v>
      </c>
      <c r="C8" s="47" t="s">
        <v>315</v>
      </c>
      <c r="D8" s="47" t="s">
        <v>315</v>
      </c>
      <c r="E8" s="47" t="s">
        <v>315</v>
      </c>
      <c r="F8" s="47" t="s">
        <v>315</v>
      </c>
      <c r="H8" s="48" t="s">
        <v>316</v>
      </c>
    </row>
    <row r="9" spans="2:8" ht="21.75" customHeight="1" x14ac:dyDescent="0.3">
      <c r="B9" s="11" t="s">
        <v>277</v>
      </c>
      <c r="C9" s="49" t="s">
        <v>317</v>
      </c>
      <c r="D9" s="49" t="s">
        <v>317</v>
      </c>
      <c r="E9" s="47" t="s">
        <v>315</v>
      </c>
      <c r="F9" s="47" t="s">
        <v>315</v>
      </c>
      <c r="H9" s="48" t="s">
        <v>318</v>
      </c>
    </row>
    <row r="10" spans="2:8" ht="21.75" customHeight="1" x14ac:dyDescent="0.3">
      <c r="B10" s="11" t="s">
        <v>190</v>
      </c>
      <c r="C10" s="47" t="s">
        <v>315</v>
      </c>
      <c r="D10" s="47" t="s">
        <v>315</v>
      </c>
      <c r="E10" s="47" t="s">
        <v>315</v>
      </c>
      <c r="F10" s="47" t="s">
        <v>315</v>
      </c>
      <c r="H10" s="48" t="s">
        <v>319</v>
      </c>
    </row>
    <row r="11" spans="2:8" ht="21.75" customHeight="1" x14ac:dyDescent="0.3">
      <c r="B11" s="11" t="s">
        <v>320</v>
      </c>
      <c r="C11" s="47" t="s">
        <v>315</v>
      </c>
      <c r="D11" s="47" t="s">
        <v>315</v>
      </c>
      <c r="E11" s="47" t="s">
        <v>315</v>
      </c>
      <c r="F11" s="47" t="s">
        <v>315</v>
      </c>
      <c r="H11" s="48" t="s">
        <v>321</v>
      </c>
    </row>
    <row r="12" spans="2:8" ht="21.75" customHeight="1" x14ac:dyDescent="0.3">
      <c r="B12" s="11" t="s">
        <v>196</v>
      </c>
      <c r="C12" s="47" t="s">
        <v>315</v>
      </c>
      <c r="D12" s="47" t="s">
        <v>315</v>
      </c>
      <c r="E12" s="47" t="s">
        <v>315</v>
      </c>
      <c r="F12" s="47" t="s">
        <v>315</v>
      </c>
      <c r="H12" s="48" t="s">
        <v>322</v>
      </c>
    </row>
    <row r="13" spans="2:8" ht="21.75" customHeight="1" x14ac:dyDescent="0.3">
      <c r="B13" s="11" t="s">
        <v>198</v>
      </c>
      <c r="C13" s="47" t="s">
        <v>315</v>
      </c>
      <c r="D13" s="47" t="s">
        <v>315</v>
      </c>
      <c r="E13" s="47" t="s">
        <v>315</v>
      </c>
      <c r="F13" s="47" t="s">
        <v>315</v>
      </c>
      <c r="H13" s="48" t="s">
        <v>323</v>
      </c>
    </row>
    <row r="15" spans="2:8" ht="15" customHeight="1" x14ac:dyDescent="0.3">
      <c r="B15" s="61" t="s">
        <v>324</v>
      </c>
      <c r="C15" s="61"/>
      <c r="D15" s="61"/>
      <c r="E15" s="61"/>
      <c r="F15" s="61"/>
      <c r="G15" s="61"/>
      <c r="H15" s="61"/>
    </row>
    <row r="16" spans="2:8" ht="21.75" customHeight="1" x14ac:dyDescent="0.3">
      <c r="B16" s="9" t="s">
        <v>325</v>
      </c>
      <c r="C16" s="9" t="s">
        <v>326</v>
      </c>
      <c r="D16" s="9" t="s">
        <v>327</v>
      </c>
      <c r="E16" s="9" t="s">
        <v>328</v>
      </c>
      <c r="F16" s="9"/>
      <c r="G16" s="9"/>
      <c r="H16" s="9" t="s">
        <v>329</v>
      </c>
    </row>
    <row r="17" spans="2:8" ht="21.75" customHeight="1" x14ac:dyDescent="0.3">
      <c r="B17" s="31" t="s">
        <v>91</v>
      </c>
      <c r="C17" s="50">
        <f>'🏥 PMI'!C80</f>
        <v>34595296.249197848</v>
      </c>
      <c r="D17" s="5" t="s">
        <v>330</v>
      </c>
      <c r="E17" s="65" t="s">
        <v>331</v>
      </c>
      <c r="F17" s="65"/>
      <c r="H17" s="51" t="s">
        <v>332</v>
      </c>
    </row>
    <row r="18" spans="2:8" ht="21.75" customHeight="1" x14ac:dyDescent="0.3">
      <c r="B18" s="31" t="s">
        <v>92</v>
      </c>
      <c r="C18" s="50">
        <f>'🛡️ CI'!C58</f>
        <v>633948953.14020467</v>
      </c>
      <c r="D18" s="5" t="s">
        <v>333</v>
      </c>
      <c r="E18" s="65" t="s">
        <v>334</v>
      </c>
      <c r="F18" s="65"/>
      <c r="H18" s="51" t="s">
        <v>335</v>
      </c>
    </row>
    <row r="19" spans="2:8" ht="21.75" customHeight="1" x14ac:dyDescent="0.3">
      <c r="B19" s="31" t="s">
        <v>76</v>
      </c>
      <c r="C19" s="50">
        <f>'💼 IP'!C56</f>
        <v>-6771875.3860802138</v>
      </c>
      <c r="D19" s="5" t="s">
        <v>333</v>
      </c>
      <c r="E19" s="65" t="s">
        <v>336</v>
      </c>
      <c r="F19" s="65"/>
      <c r="H19" s="51" t="s">
        <v>337</v>
      </c>
    </row>
    <row r="20" spans="2:8" ht="21.75" customHeight="1" x14ac:dyDescent="0.3">
      <c r="B20" s="31" t="s">
        <v>77</v>
      </c>
      <c r="C20" s="50">
        <f>'🏡 LTCI'!C56</f>
        <v>2906718.4843522781</v>
      </c>
      <c r="D20" s="5" t="s">
        <v>333</v>
      </c>
      <c r="E20" s="65" t="s">
        <v>336</v>
      </c>
      <c r="F20" s="65"/>
      <c r="H20" s="51" t="s">
        <v>338</v>
      </c>
    </row>
    <row r="21" spans="2:8" ht="27.75" customHeight="1" x14ac:dyDescent="0.3">
      <c r="B21" s="52" t="s">
        <v>339</v>
      </c>
      <c r="C21" s="33">
        <f>SUM(C17:C20)</f>
        <v>664679092.48767447</v>
      </c>
    </row>
    <row r="23" spans="2:8" ht="15" customHeight="1" x14ac:dyDescent="0.3">
      <c r="B23" s="61" t="s">
        <v>340</v>
      </c>
      <c r="C23" s="61"/>
      <c r="D23" s="61"/>
      <c r="E23" s="61"/>
      <c r="F23" s="61"/>
      <c r="G23" s="61"/>
      <c r="H23" s="61"/>
    </row>
    <row r="24" spans="2:8" ht="28.2" customHeight="1" x14ac:dyDescent="0.3">
      <c r="B24" s="57" t="s">
        <v>341</v>
      </c>
      <c r="C24" s="57"/>
      <c r="D24" s="57"/>
      <c r="E24" s="57"/>
      <c r="F24" s="57"/>
      <c r="G24" s="57"/>
      <c r="H24" s="57"/>
    </row>
    <row r="25" spans="2:8" ht="24.6" customHeight="1" x14ac:dyDescent="0.3">
      <c r="B25" s="57" t="s">
        <v>342</v>
      </c>
      <c r="C25" s="57"/>
      <c r="D25" s="57"/>
      <c r="E25" s="57"/>
      <c r="F25" s="57"/>
      <c r="G25" s="57"/>
      <c r="H25" s="57"/>
    </row>
  </sheetData>
  <mergeCells count="11">
    <mergeCell ref="B2:H2"/>
    <mergeCell ref="B4:H4"/>
    <mergeCell ref="B6:H6"/>
    <mergeCell ref="B15:H15"/>
    <mergeCell ref="E17:F17"/>
    <mergeCell ref="B25:H25"/>
    <mergeCell ref="E18:F18"/>
    <mergeCell ref="E19:F19"/>
    <mergeCell ref="E20:F20"/>
    <mergeCell ref="B23:H23"/>
    <mergeCell ref="B24:H24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📋 Contents</vt:lpstr>
      <vt:lpstr>⚙️ Assumptions</vt:lpstr>
      <vt:lpstr>🏥 PMI</vt:lpstr>
      <vt:lpstr>🛡️ CI</vt:lpstr>
      <vt:lpstr>💼 IP</vt:lpstr>
      <vt:lpstr>🏡 LTCI</vt:lpstr>
      <vt:lpstr>📊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Girish Rao</cp:lastModifiedBy>
  <cp:revision>0</cp:revision>
  <dcterms:created xsi:type="dcterms:W3CDTF">2026-04-18T14:16:33Z</dcterms:created>
  <dcterms:modified xsi:type="dcterms:W3CDTF">2026-04-18T14:42:35Z</dcterms:modified>
  <dc:language>en-US</dc:language>
</cp:coreProperties>
</file>