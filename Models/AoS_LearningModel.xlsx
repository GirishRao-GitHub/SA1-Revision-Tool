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BalanceSheet" sheetId="3" state="visible" r:id="rId5"/>
    <sheet name="AoS_Main" sheetId="4" state="visible" r:id="rId6"/>
    <sheet name="WorkedExample" sheetId="5" state="visible" r:id="rId7"/>
    <sheet name="AoEV" sheetId="6" state="visible" r:id="rId8"/>
    <sheet name="PMI_Profi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<sst xmlns="http://schemas.openxmlformats.org/spreadsheetml/2006/main" count="288" uniqueCount="266">
  <si>
    <t xml:space="preserve">ANALYSIS OF SURPLUS – LEARNING MODEL</t>
  </si>
  <si>
    <t xml:space="preserve">SA1 Health &amp; Care Actuarial – Chapter 20</t>
  </si>
  <si>
    <t xml:space="preserve">Sheet</t>
  </si>
  <si>
    <t xml:space="preserve">Description</t>
  </si>
  <si>
    <t xml:space="preserve">Tab Name</t>
  </si>
  <si>
    <t xml:space="preserve">COVER</t>
  </si>
  <si>
    <t xml:space="preserve">Navigation &amp; Overview</t>
  </si>
  <si>
    <t xml:space="preserve">Cover</t>
  </si>
  <si>
    <t xml:space="preserve">ASSUMP</t>
  </si>
  <si>
    <t xml:space="preserve">Valuation Basis Assumptions</t>
  </si>
  <si>
    <t xml:space="preserve">Assumptions</t>
  </si>
  <si>
    <t xml:space="preserve">BS</t>
  </si>
  <si>
    <t xml:space="preserve">Opening &amp; Closing Balance Sheets</t>
  </si>
  <si>
    <t xml:space="preserve">BalanceSheet</t>
  </si>
  <si>
    <t xml:space="preserve">AoS</t>
  </si>
  <si>
    <t xml:space="preserve">Analysis of Surplus (Main Model)</t>
  </si>
  <si>
    <t xml:space="preserve">AoS_Main</t>
  </si>
  <si>
    <t xml:space="preserve">WORKED EG</t>
  </si>
  <si>
    <t xml:space="preserve">Numerical Worked Example</t>
  </si>
  <si>
    <t xml:space="preserve">WorkedExample</t>
  </si>
  <si>
    <t xml:space="preserve">EV</t>
  </si>
  <si>
    <t xml:space="preserve">Analysis of Change in EV</t>
  </si>
  <si>
    <t xml:space="preserve">AoEV</t>
  </si>
  <si>
    <t xml:space="preserve">PMI</t>
  </si>
  <si>
    <t xml:space="preserve">Short-Term Profit Analysis (PMI)</t>
  </si>
  <si>
    <t xml:space="preserve">PMI_Profit</t>
  </si>
  <si>
    <t xml:space="preserve">COLOUR CODING GUIDE</t>
  </si>
  <si>
    <t xml:space="preserve">Blue text</t>
  </si>
  <si>
    <t xml:space="preserve">Hardcoded INPUT – change to run scenarios</t>
  </si>
  <si>
    <t xml:space="preserve">Black text</t>
  </si>
  <si>
    <t xml:space="preserve">Calculated FORMULA – do not overwrite</t>
  </si>
  <si>
    <t xml:space="preserve">Green text</t>
  </si>
  <si>
    <t xml:space="preserve">Cross-sheet LINK</t>
  </si>
  <si>
    <t xml:space="preserve">Yellow bg</t>
  </si>
  <si>
    <t xml:space="preserve">Key assumption cell – review carefully</t>
  </si>
  <si>
    <t xml:space="preserve">VALUATION BASIS ASSUMPTIONS</t>
  </si>
  <si>
    <t xml:space="preserve">A.  ECONOMIC ASSUMPTIONS</t>
  </si>
  <si>
    <t xml:space="preserve">Assumption</t>
  </si>
  <si>
    <t xml:space="preserve">Start of Year</t>
  </si>
  <si>
    <t xml:space="preserve">End of Year</t>
  </si>
  <si>
    <t xml:space="preserve">Notes</t>
  </si>
  <si>
    <t xml:space="preserve">Discount rate (% pa)</t>
  </si>
  <si>
    <t xml:space="preserve">Risk-free rate proxy</t>
  </si>
  <si>
    <t xml:space="preserve">Expected investment return (% pa)</t>
  </si>
  <si>
    <t xml:space="preserve">Internal view on assets</t>
  </si>
  <si>
    <t xml:space="preserve">Risk-free rate (% pa)</t>
  </si>
  <si>
    <t xml:space="preserve">Solvency II basis</t>
  </si>
  <si>
    <t xml:space="preserve">Matching adjustment (% pa)</t>
  </si>
  <si>
    <t xml:space="preserve">Fundamental spread deducted</t>
  </si>
  <si>
    <t xml:space="preserve">Inflation rate (% pa)</t>
  </si>
  <si>
    <t xml:space="preserve">RPI / Medical inflation</t>
  </si>
  <si>
    <t xml:space="preserve">Actual investment return (% pa)</t>
  </si>
  <si>
    <t xml:space="preserve">Drives investment variance</t>
  </si>
  <si>
    <t xml:space="preserve">B.  NON-ECONOMIC (INSURANCE) ASSUMPTIONS</t>
  </si>
  <si>
    <t xml:space="preserve">Expected</t>
  </si>
  <si>
    <t xml:space="preserve">Actual</t>
  </si>
  <si>
    <t xml:space="preserve">Variance Impact</t>
  </si>
  <si>
    <t xml:space="preserve">Morbidity rate (% of exposed)</t>
  </si>
  <si>
    <t xml:space="preserve">Mortality rate (% of exposed)</t>
  </si>
  <si>
    <t xml:space="preserve">Lapse / persistency rate (%)</t>
  </si>
  <si>
    <t xml:space="preserve">Expense per policy (£)</t>
  </si>
  <si>
    <t xml:space="preserve">Claims incurred (£000s)</t>
  </si>
  <si>
    <t xml:space="preserve">C.  NEW BUSINESS VOLUME</t>
  </si>
  <si>
    <t xml:space="preserve">Item</t>
  </si>
  <si>
    <t xml:space="preserve">Value</t>
  </si>
  <si>
    <t xml:space="preserve">Unit</t>
  </si>
  <si>
    <t xml:space="preserve">New policies written</t>
  </si>
  <si>
    <t xml:space="preserve">No. of policies</t>
  </si>
  <si>
    <t xml:space="preserve">During analysis year</t>
  </si>
  <si>
    <t xml:space="preserve">Average premium (£)</t>
  </si>
  <si>
    <t xml:space="preserve">£ per policy</t>
  </si>
  <si>
    <t xml:space="preserve">Initial annual premium</t>
  </si>
  <si>
    <t xml:space="preserve">Initial expenses (£)</t>
  </si>
  <si>
    <t xml:space="preserve">Acquisition cost</t>
  </si>
  <si>
    <t xml:space="preserve">Reserve per new policy(£)</t>
  </si>
  <si>
    <t xml:space="preserve">Opening supervisory reserve</t>
  </si>
  <si>
    <t xml:space="preserve">SUPERVISORY BALANCE SHEET</t>
  </si>
  <si>
    <t xml:space="preserve">Start of Year (£)</t>
  </si>
  <si>
    <t xml:space="preserve">End of Year (£)</t>
  </si>
  <si>
    <t xml:space="preserve">Change (£)</t>
  </si>
  <si>
    <t xml:space="preserve">ASSETS</t>
  </si>
  <si>
    <t xml:space="preserve">Fixed interest bonds</t>
  </si>
  <si>
    <t xml:space="preserve">Equities</t>
  </si>
  <si>
    <t xml:space="preserve">Cash &amp; money market</t>
  </si>
  <si>
    <t xml:space="preserve">Property</t>
  </si>
  <si>
    <t xml:space="preserve">Other assets</t>
  </si>
  <si>
    <t xml:space="preserve">TOTAL ASSETS</t>
  </si>
  <si>
    <t xml:space="preserve">LIABILITIES (TECHNICAL PROVISIONS)</t>
  </si>
  <si>
    <t xml:space="preserve">Best Estimate Liability (BEL)</t>
  </si>
  <si>
    <t xml:space="preserve">Risk Margin</t>
  </si>
  <si>
    <t xml:space="preserve">Other technical provisions</t>
  </si>
  <si>
    <t xml:space="preserve">Other liabilities</t>
  </si>
  <si>
    <t xml:space="preserve">TOTAL LIABILITIES</t>
  </si>
  <si>
    <t xml:space="preserve">SUPERVISORY SURPLUS</t>
  </si>
  <si>
    <t xml:space="preserve">Surplus – Start of Year</t>
  </si>
  <si>
    <t xml:space="preserve">Surplus – End of Year</t>
  </si>
  <si>
    <t xml:space="preserve">Surplus ARISING over year</t>
  </si>
  <si>
    <t xml:space="preserve">SOLVENCY CAPITAL REQUIREMENT (SCR)</t>
  </si>
  <si>
    <t xml:space="preserve">SCR (Pillar 1 capital requirement)</t>
  </si>
  <si>
    <t xml:space="preserve">MCR (Minimum capital requirement)</t>
  </si>
  <si>
    <t xml:space="preserve">Free surplus (Surplus over SCR)</t>
  </si>
  <si>
    <t xml:space="preserve">ANALYSIS OF SUPERVISORY VALUATION SURPLUS</t>
  </si>
  <si>
    <t xml:space="preserve">Reconciles opening surplus to closing surplus • Blue cells = inputs • Change assumptions to explore variances</t>
  </si>
  <si>
    <t xml:space="preserve">Amount (£)</t>
  </si>
  <si>
    <t xml:space="preserve">Running Total (£)</t>
  </si>
  <si>
    <t xml:space="preserve">OPENING SURPLUS  (Start of Year)</t>
  </si>
  <si>
    <t xml:space="preserve">1.  OPENING ADJUSTMENTS</t>
  </si>
  <si>
    <t xml:space="preserve">   Model / data / methodology corrections</t>
  </si>
  <si>
    <t xml:space="preserve">   Other opening adjustments</t>
  </si>
  <si>
    <t xml:space="preserve">   Total Opening Adjustments</t>
  </si>
  <si>
    <t xml:space="preserve">2.  RETURN ON OPENING SURPLUS</t>
  </si>
  <si>
    <t xml:space="preserve">   Expected return on opening surplus</t>
  </si>
  <si>
    <t xml:space="preserve">   Excess of actual over expected return (on surplus assets)</t>
  </si>
  <si>
    <t xml:space="preserve">   Total Return on Opening Surplus</t>
  </si>
  <si>
    <t xml:space="preserve">3.  ECONOMIC VARIANCES</t>
  </si>
  <si>
    <t xml:space="preserve">   Investment return variance</t>
  </si>
  <si>
    <t xml:space="preserve">   Inflation variance</t>
  </si>
  <si>
    <t xml:space="preserve">   Changes in economic assumptions</t>
  </si>
  <si>
    <t xml:space="preserve">   Asset mix / matching adjustment variance</t>
  </si>
  <si>
    <t xml:space="preserve">   Mismatch profit / (loss)</t>
  </si>
  <si>
    <t xml:space="preserve">   Total Economic Variances</t>
  </si>
  <si>
    <t xml:space="preserve">4.  NON-ECONOMIC (INSURANCE) VARIANCES</t>
  </si>
  <si>
    <t xml:space="preserve">   Morbidity / claim incidence variance</t>
  </si>
  <si>
    <t xml:space="preserve">   Mortality variance</t>
  </si>
  <si>
    <t xml:space="preserve">   Persistency / lapse rate variance</t>
  </si>
  <si>
    <t xml:space="preserve">   Expense variance</t>
  </si>
  <si>
    <t xml:space="preserve">   One-off / exceptional expenses</t>
  </si>
  <si>
    <t xml:space="preserve">   Changes in non-economic assumptions</t>
  </si>
  <si>
    <t xml:space="preserve">   Total Non-Economic Variances</t>
  </si>
  <si>
    <t xml:space="preserve">5.  NEW BUSINESS IMPACT</t>
  </si>
  <si>
    <t xml:space="preserve">   New business contribution</t>
  </si>
  <si>
    <t xml:space="preserve">   Total New Business</t>
  </si>
  <si>
    <t xml:space="preserve">6.  OTHER VARIANCES</t>
  </si>
  <si>
    <t xml:space="preserve">   Capital injected / (distributed)</t>
  </si>
  <si>
    <t xml:space="preserve">   Tax changes</t>
  </si>
  <si>
    <t xml:space="preserve">   Exceptional / one-off items</t>
  </si>
  <si>
    <t xml:space="preserve">   Total Other Variances</t>
  </si>
  <si>
    <t xml:space="preserve">7.  UNEXPLAINED MOVEMENT</t>
  </si>
  <si>
    <t xml:space="preserve">   Unexplained residual  (difference to actual closing surplus)</t>
  </si>
  <si>
    <t xml:space="preserve">CLOSING SURPLUS  (End of Year) – per Analysis</t>
  </si>
  <si>
    <t xml:space="preserve">CLOSING SURPLUS  (End of Year) – per Balance Sheet</t>
  </si>
  <si>
    <t xml:space="preserve">RECONCILIATION CHECK  (must be zero)</t>
  </si>
  <si>
    <t xml:space="preserve">KEY CONCEPTS FROM SA1 CH.20</t>
  </si>
  <si>
    <t xml:space="preserve">Surplus = Assets – Liabilities (supervisory valuation basis). 'Surplus arising' = change over period.</t>
  </si>
  <si>
    <t xml:space="preserve">Analysis starts from OPENING SURPLUS and adds each source to reconcile to CLOSING SURPLUS.</t>
  </si>
  <si>
    <t xml:space="preserve">INTERACTION TERMS: e.g. excess return on assets 'not supposed to be there' – allocate consistently each year.</t>
  </si>
  <si>
    <t xml:space="preserve">Under Solvency II: Profit &amp; Loss Attribution is a mandatory requirement for internal model approval.</t>
  </si>
  <si>
    <t xml:space="preserve">UNEXPLAINED residual should be minimised. Management sets a tolerance (e.g. as % of total liabilities).</t>
  </si>
  <si>
    <t xml:space="preserve">Classification must be CONSISTENT year-on-year to allow meaningful trend analysis by item.</t>
  </si>
  <si>
    <t xml:space="preserve">A trend of consistently positive/negative variance in an item suggests the VALUATION ASSUMPTION should be updated.</t>
  </si>
  <si>
    <t xml:space="preserve">Uses: capital planning, product redesign, identifying new risks, executive remuneration, regulatory reporting.</t>
  </si>
  <si>
    <t xml:space="preserve">WORKED EXAMPLE – SA1 Ch.20 Numerical Question</t>
  </si>
  <si>
    <t xml:space="preserve">Liability: pay 100 in 2 years | Expense 5 in 6m | Expense 10 in 18m | Assets = 200</t>
  </si>
  <si>
    <t xml:space="preserve">VALUATION BASIS INPUTS</t>
  </si>
  <si>
    <t xml:space="preserve">Parameter</t>
  </si>
  <si>
    <t xml:space="preserve">Both SOY and EOY valuations</t>
  </si>
  <si>
    <t xml:space="preserve">Assets at start of year</t>
  </si>
  <si>
    <t xml:space="preserve">Total invested assets</t>
  </si>
  <si>
    <t xml:space="preserve">Expense – 6 months (SOY basis)</t>
  </si>
  <si>
    <t xml:space="preserve">Outgo at t=0.5</t>
  </si>
  <si>
    <t xml:space="preserve">Expense – 18 months (SOY basis)</t>
  </si>
  <si>
    <t xml:space="preserve">Outgo at t=1.5 (SOY)</t>
  </si>
  <si>
    <t xml:space="preserve">Benefit payable – 2 years</t>
  </si>
  <si>
    <t xml:space="preserve">Outgo at t=2</t>
  </si>
  <si>
    <t xml:space="preserve">Achieved during the year</t>
  </si>
  <si>
    <t xml:space="preserve">Actual expense incurred</t>
  </si>
  <si>
    <t xml:space="preserve">Incurred at t=0.5 (mid-year)</t>
  </si>
  <si>
    <t xml:space="preserve">Expense – 6 months (EOY basis)</t>
  </si>
  <si>
    <t xml:space="preserve">Outgo at t=0.5 on EOY valuation</t>
  </si>
  <si>
    <t xml:space="preserve">PART (i) – SURPLUS AT START OF YEAR</t>
  </si>
  <si>
    <t xml:space="preserve">Component</t>
  </si>
  <si>
    <t xml:space="preserve">Formula Used</t>
  </si>
  <si>
    <t xml:space="preserve">v = 1/(1+i)</t>
  </si>
  <si>
    <t xml:space="preserve">PV of benefit (100·v²)</t>
  </si>
  <si>
    <t xml:space="preserve">PV of exp at 6m (5·v^0.5)</t>
  </si>
  <si>
    <t xml:space="preserve">PV of exp at 18m (10·v^1.5)</t>
  </si>
  <si>
    <t xml:space="preserve">Total Liability (SOY)</t>
  </si>
  <si>
    <t xml:space="preserve">Assets (SOY)</t>
  </si>
  <si>
    <t xml:space="preserve">SURPLUS – Start of Year</t>
  </si>
  <si>
    <t xml:space="preserve">PART (ii) – SURPLUS AT END OF YEAR &amp; SURPLUS ARISING</t>
  </si>
  <si>
    <t xml:space="preserve">Assets EOY (200·(1+act_ret) – 15·(1+act_ret)^0.5)</t>
  </si>
  <si>
    <t xml:space="preserve">v (EOY) = same discount rate</t>
  </si>
  <si>
    <t xml:space="preserve">PV of benefit at EOY (100·v)</t>
  </si>
  <si>
    <t xml:space="preserve">PV of exp at 6m EOY (10·v^0.5)</t>
  </si>
  <si>
    <t xml:space="preserve">Total Liability (EOY)</t>
  </si>
  <si>
    <t xml:space="preserve">SURPLUS – End of Year</t>
  </si>
  <si>
    <t xml:space="preserve">SURPLUS ARISING  (EOY – SOY)</t>
  </si>
  <si>
    <t xml:space="preserve">PART (iii) – ANALYSIS OF SURPLUS ARISING</t>
  </si>
  <si>
    <t xml:space="preserve">Source</t>
  </si>
  <si>
    <t xml:space="preserve">Workings</t>
  </si>
  <si>
    <t xml:space="preserve">Surplus (£)</t>
  </si>
  <si>
    <t xml:space="preserve">(a) Expected return on opening surplus</t>
  </si>
  <si>
    <t xml:space="preserve">SOY surplus × discount rate</t>
  </si>
  <si>
    <t xml:space="preserve">(b) Investment return variance</t>
  </si>
  <si>
    <t xml:space="preserve">Assets at actual return minus assets at expected return (expenses at actual)</t>
  </si>
  <si>
    <t xml:space="preserve">    …alternative: assets × (act_ret – exp_ret)</t>
  </si>
  <si>
    <t xml:space="preserve">Simplified: ignores expense timing</t>
  </si>
  <si>
    <t xml:space="preserve">(c) Expense variance</t>
  </si>
  <si>
    <t xml:space="preserve">Expected expense assets minus actual expense assets (both at expected ret)</t>
  </si>
  <si>
    <t xml:space="preserve">    …alternative: (exp – act) × (1+i)^0.5</t>
  </si>
  <si>
    <t xml:space="preserve">Simpler: expected less actual, accrued to year end</t>
  </si>
  <si>
    <t xml:space="preserve">TOTAL (should equal surplus arising)</t>
  </si>
  <si>
    <t xml:space="preserve">Check: matches D34</t>
  </si>
  <si>
    <t xml:space="preserve">✓ CHECK  (must = 0)</t>
  </si>
  <si>
    <t xml:space="preserve">Must be zero</t>
  </si>
  <si>
    <t xml:space="preserve">ANALYSIS OF CHANGE IN EMBEDDED VALUE (EV)</t>
  </si>
  <si>
    <t xml:space="preserve">EV = Free Surplus + Required Capital (net of CoHRC) + PVIF  |  Typically 1-year analysis</t>
  </si>
  <si>
    <t xml:space="preserve">EV COMPONENTS</t>
  </si>
  <si>
    <t xml:space="preserve">Free surplus</t>
  </si>
  <si>
    <t xml:space="preserve">Required capital</t>
  </si>
  <si>
    <t xml:space="preserve">Less: Cost of holding req. cap</t>
  </si>
  <si>
    <t xml:space="preserve">Present Value of In-Force (PVIF)</t>
  </si>
  <si>
    <t xml:space="preserve">TOTAL EV – Start of Year</t>
  </si>
  <si>
    <t xml:space="preserve">TOTAL EV – End of Year</t>
  </si>
  <si>
    <t xml:space="preserve">ANALYSIS OF CHANGE IN EMBEDDED VALUE</t>
  </si>
  <si>
    <t xml:space="preserve">Cumulative (£)</t>
  </si>
  <si>
    <t xml:space="preserve">OPENING EV</t>
  </si>
  <si>
    <t xml:space="preserve">1. Return on net assets (expected)</t>
  </si>
  <si>
    <t xml:space="preserve">   Return on net assets (excess actual)</t>
  </si>
  <si>
    <t xml:space="preserve">2. Expected return on in-force (PVIF unwind)</t>
  </si>
  <si>
    <t xml:space="preserve">3. Experience variances – Economic</t>
  </si>
  <si>
    <t xml:space="preserve">   Experience variances – Non-economic</t>
  </si>
  <si>
    <t xml:space="preserve">4. Operating assumption changes</t>
  </si>
  <si>
    <t xml:space="preserve">5. New business contribution</t>
  </si>
  <si>
    <t xml:space="preserve">6. Other items (dividends, capinj, tax)</t>
  </si>
  <si>
    <t xml:space="preserve">7. Unexplained</t>
  </si>
  <si>
    <t xml:space="preserve">CLOSING EV (formula)</t>
  </si>
  <si>
    <t xml:space="preserve">CLOSING EV (per schedule)</t>
  </si>
  <si>
    <t xml:space="preserve">CHECK (must = 0)</t>
  </si>
  <si>
    <t xml:space="preserve">PVIF UNWIND FORMULA  (Ch.20 Section 6.1)</t>
  </si>
  <si>
    <t xml:space="preserve">PVIF(t+1) - PVIF(t)  =  PVIF(t) × r  -  S(t)
where:  r = discount rate used in PVIF projection
         S(t) = expected surplus (profit) arising in period starting at t
Interpretation: PVIF grows at discount rate ('unwind'), but falls by the
expected surplus that emerges into net assets. Overall EV is unchanged
when experience is exactly as expected – value just moves from PVIF → net assets.</t>
  </si>
  <si>
    <t xml:space="preserve">PMI SHORT-TERM PROFIT ANALYSIS  (SA1 Ch.20 Section 7)</t>
  </si>
  <si>
    <t xml:space="preserve">Three key indices: Rate of Incidence | Avg Cost per Claim | Loss Ratio   |  Analysed by cohort &amp; quarter</t>
  </si>
  <si>
    <t xml:space="preserve">COHORT DATA INPUTS – INDIVIDUAL PMI</t>
  </si>
  <si>
    <t xml:space="preserve">Q1</t>
  </si>
  <si>
    <t xml:space="preserve">Q2</t>
  </si>
  <si>
    <t xml:space="preserve">Q3</t>
  </si>
  <si>
    <t xml:space="preserve">Q4</t>
  </si>
  <si>
    <t xml:space="preserve">Policies exposed to risk</t>
  </si>
  <si>
    <t xml:space="preserve">Of which: paid to date</t>
  </si>
  <si>
    <t xml:space="preserve">Outstanding (OS) reported</t>
  </si>
  <si>
    <t xml:space="preserve">IBNR provision</t>
  </si>
  <si>
    <t xml:space="preserve">Earned premium (£000s)</t>
  </si>
  <si>
    <t xml:space="preserve">Separate claims count</t>
  </si>
  <si>
    <t xml:space="preserve">Pricing assumption – loss ratio</t>
  </si>
  <si>
    <t xml:space="preserve">Pricing assumption – incidence</t>
  </si>
  <si>
    <t xml:space="preserve">Pricing assumption – avg cost(£)</t>
  </si>
  <si>
    <t xml:space="preserve">CALCULATED INDICES – ACTUAL vs PRICING ASSUMPTION</t>
  </si>
  <si>
    <t xml:space="preserve">Index</t>
  </si>
  <si>
    <t xml:space="preserve">Rate of Incidence (actual)</t>
  </si>
  <si>
    <t xml:space="preserve">Rate of Incidence (pricing)</t>
  </si>
  <si>
    <t xml:space="preserve">Incidence variance (act – pricing)</t>
  </si>
  <si>
    <t xml:space="preserve">Average cost per claim £ (actual)</t>
  </si>
  <si>
    <t xml:space="preserve">Avg cost – pricing assumption £</t>
  </si>
  <si>
    <t xml:space="preserve">Avg cost variance (act – pricing £)</t>
  </si>
  <si>
    <t xml:space="preserve">Loss ratio (actual)</t>
  </si>
  <si>
    <t xml:space="preserve">Loss ratio (pricing assumption)</t>
  </si>
  <si>
    <t xml:space="preserve">Loss ratio variance (act – pricing)</t>
  </si>
  <si>
    <t xml:space="preserve">KEY DEFINITIONS (Ch.20 §7)</t>
  </si>
  <si>
    <t xml:space="preserve">Rate of incidence  = No. of separate claims ÷ Lives exposed to risk</t>
  </si>
  <si>
    <t xml:space="preserve">Average cost per claim  = Total incurred claims ÷ No. of separate claims</t>
  </si>
  <si>
    <t xml:space="preserve">Loss ratio  = Total incurred claims ÷ Earned premium</t>
  </si>
  <si>
    <t xml:space="preserve">Incurred claims  =  Paid to date  +  Outstanding (OS)  +  IBNR</t>
  </si>
  <si>
    <t xml:space="preserve">Consistency in claim definition is vital for meaningful trend analysis and inter-company comparison</t>
  </si>
  <si>
    <t xml:space="preserve">NCD systems require rapid cohort experience assessment to adjust promotion/demotion rules</t>
  </si>
  <si>
    <t xml:space="preserve">Duration-based cohorts used for PMI (selection effect in early policy years → lower loss ratios)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</si>
</sst>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%"/>
    <numFmt numFmtId="166" formatCode="0.00%"/>
    <numFmt numFmtId="167" formatCode="0.00%;\(0.00%\);;"/>
    <numFmt numFmtId="168" formatCode="#,##0.00"/>
    <numFmt numFmtId="169" formatCode="#,##0.00;\(#,##0.00\);\-"/>
    <numFmt numFmtId="170" formatCode="#,##0"/>
    <numFmt numFmtId="171" formatCode="#,##0;\(#,##0\);\-"/>
    <numFmt numFmtId="172" formatCode="0.00;\(0.00\);\-"/>
    <numFmt numFmtId="173" formatCode="General"/>
    <numFmt numFmtId="174" formatCode="#,##0.0000;\(#,##0.0000\);\-"/>
    <numFmt numFmtId="175" formatCode="\+0.000%;\(0.000%\);\-"/>
    <numFmt numFmtId="176" formatCode="0.0%"/>
    <numFmt numFmtId="177" formatCode="\+0.0%;\(0.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C7CE"/>
        <bgColor rgb="FFD6E4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1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5" fillId="5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60"/>
    <col collapsed="false" customWidth="true" hidden="false" outlineLevel="0" max="4" min="4" style="1" width="15"/>
    <col collapsed="false" customWidth="true" hidden="false" outlineLevel="0" max="5" min="5" style="1" width="3"/>
  </cols>
  <sheetData>
    <row r="2" customFormat="false" ht="30" hidden="false" customHeight="true" outlineLevel="0" collapsed="false">
      <c r="B2" s="2" t="s">
        <v>0</v>
      </c>
      <c r="C2" s="2"/>
      <c r="D2" s="2"/>
    </row>
    <row r="3" customFormat="false" ht="19.5" hidden="false" customHeight="true" outlineLevel="0" collapsed="false">
      <c r="B3" s="3" t="s">
        <v>1</v>
      </c>
      <c r="C3" s="3"/>
      <c r="D3" s="3"/>
    </row>
    <row r="5" customFormat="false" ht="15" hidden="false" customHeight="true" outlineLevel="0" collapsed="false">
      <c r="B5" s="4" t="s">
        <v>2</v>
      </c>
      <c r="C5" s="4" t="s">
        <v>3</v>
      </c>
      <c r="D5" s="4" t="s">
        <v>4</v>
      </c>
    </row>
    <row r="6" customFormat="false" ht="15" hidden="false" customHeight="true" outlineLevel="0" collapsed="false">
      <c r="B6" s="5" t="s">
        <v>5</v>
      </c>
      <c r="C6" s="6" t="s">
        <v>6</v>
      </c>
      <c r="D6" s="7" t="s">
        <v>7</v>
      </c>
    </row>
    <row r="7" customFormat="false" ht="15" hidden="false" customHeight="true" outlineLevel="0" collapsed="false">
      <c r="B7" s="8" t="s">
        <v>8</v>
      </c>
      <c r="C7" s="9" t="s">
        <v>9</v>
      </c>
      <c r="D7" s="10" t="s">
        <v>10</v>
      </c>
    </row>
    <row r="8" customFormat="false" ht="15" hidden="false" customHeight="true" outlineLevel="0" collapsed="false">
      <c r="B8" s="5" t="s">
        <v>11</v>
      </c>
      <c r="C8" s="6" t="s">
        <v>12</v>
      </c>
      <c r="D8" s="7" t="s">
        <v>13</v>
      </c>
    </row>
    <row r="9" customFormat="false" ht="15" hidden="false" customHeight="true" outlineLevel="0" collapsed="false">
      <c r="B9" s="8" t="s">
        <v>14</v>
      </c>
      <c r="C9" s="9" t="s">
        <v>15</v>
      </c>
      <c r="D9" s="10" t="s">
        <v>16</v>
      </c>
    </row>
    <row r="10" customFormat="false" ht="15" hidden="false" customHeight="true" outlineLevel="0" collapsed="false">
      <c r="B10" s="5" t="s">
        <v>17</v>
      </c>
      <c r="C10" s="6" t="s">
        <v>18</v>
      </c>
      <c r="D10" s="7" t="s">
        <v>19</v>
      </c>
    </row>
    <row r="11" customFormat="false" ht="15" hidden="false" customHeight="true" outlineLevel="0" collapsed="false">
      <c r="B11" s="8" t="s">
        <v>20</v>
      </c>
      <c r="C11" s="9" t="s">
        <v>21</v>
      </c>
      <c r="D11" s="10" t="s">
        <v>22</v>
      </c>
    </row>
    <row r="12" customFormat="false" ht="15" hidden="false" customHeight="true" outlineLevel="0" collapsed="false">
      <c r="B12" s="5" t="s">
        <v>23</v>
      </c>
      <c r="C12" s="6" t="s">
        <v>24</v>
      </c>
      <c r="D12" s="7" t="s">
        <v>25</v>
      </c>
    </row>
    <row r="14" customFormat="false" ht="15" hidden="false" customHeight="true" outlineLevel="0" collapsed="false">
      <c r="B14" s="11" t="s">
        <v>26</v>
      </c>
      <c r="C14" s="11"/>
      <c r="D14" s="11"/>
    </row>
    <row r="15" customFormat="false" ht="15" hidden="false" customHeight="true" outlineLevel="0" collapsed="false">
      <c r="B15" s="12" t="s">
        <v>27</v>
      </c>
      <c r="C15" s="13" t="s">
        <v>28</v>
      </c>
    </row>
    <row r="16" customFormat="false" ht="15" hidden="false" customHeight="true" outlineLevel="0" collapsed="false">
      <c r="B16" s="14" t="s">
        <v>29</v>
      </c>
      <c r="C16" s="13" t="s">
        <v>30</v>
      </c>
    </row>
    <row r="17" customFormat="false" ht="15" hidden="false" customHeight="true" outlineLevel="0" collapsed="false">
      <c r="B17" s="15" t="s">
        <v>31</v>
      </c>
      <c r="C17" s="13" t="s">
        <v>32</v>
      </c>
    </row>
    <row r="18" customFormat="false" ht="15" hidden="false" customHeight="true" outlineLevel="0" collapsed="false">
      <c r="B18" s="16" t="s">
        <v>33</v>
      </c>
      <c r="C18" s="13" t="s">
        <v>34</v>
      </c>
    </row>
  </sheetData>
  <mergeCells count="3">
    <mergeCell ref="B2:D2"/>
    <mergeCell ref="B3:D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30"/>
    <col collapsed="false" customWidth="true" hidden="false" outlineLevel="0" max="6" min="6" style="1" width="3"/>
  </cols>
  <sheetData>
    <row r="1" customFormat="false" ht="27.75" hidden="false" customHeight="true" outlineLevel="0" collapsed="false">
      <c r="B1" s="17" t="s">
        <v>35</v>
      </c>
      <c r="C1" s="17"/>
      <c r="D1" s="17"/>
      <c r="E1" s="17"/>
    </row>
    <row r="3" customFormat="false" ht="15.75" hidden="false" customHeight="true" outlineLevel="0" collapsed="false">
      <c r="B3" s="18" t="s">
        <v>36</v>
      </c>
      <c r="C3" s="19"/>
      <c r="D3" s="19"/>
      <c r="E3" s="19"/>
    </row>
    <row r="4" customFormat="false" ht="15" hidden="false" customHeight="true" outlineLevel="0" collapsed="false">
      <c r="B4" s="20" t="s">
        <v>37</v>
      </c>
      <c r="C4" s="20" t="s">
        <v>38</v>
      </c>
      <c r="D4" s="20" t="s">
        <v>39</v>
      </c>
      <c r="E4" s="20" t="s">
        <v>40</v>
      </c>
    </row>
    <row r="5" customFormat="false" ht="15" hidden="false" customHeight="true" outlineLevel="0" collapsed="false">
      <c r="B5" s="21" t="s">
        <v>41</v>
      </c>
      <c r="C5" s="22" t="n">
        <v>0.005</v>
      </c>
      <c r="D5" s="22" t="n">
        <v>0.005</v>
      </c>
      <c r="E5" s="23" t="s">
        <v>42</v>
      </c>
    </row>
    <row r="6" customFormat="false" ht="15" hidden="false" customHeight="true" outlineLevel="0" collapsed="false">
      <c r="B6" s="24" t="s">
        <v>43</v>
      </c>
      <c r="C6" s="22" t="n">
        <v>0.025</v>
      </c>
      <c r="D6" s="22" t="n">
        <v>0.025</v>
      </c>
      <c r="E6" s="25" t="s">
        <v>44</v>
      </c>
    </row>
    <row r="7" customFormat="false" ht="15" hidden="false" customHeight="true" outlineLevel="0" collapsed="false">
      <c r="B7" s="21" t="s">
        <v>45</v>
      </c>
      <c r="C7" s="22" t="n">
        <v>0.005</v>
      </c>
      <c r="D7" s="22" t="n">
        <v>0.005</v>
      </c>
      <c r="E7" s="23" t="s">
        <v>46</v>
      </c>
    </row>
    <row r="8" customFormat="false" ht="15" hidden="false" customHeight="true" outlineLevel="0" collapsed="false">
      <c r="B8" s="24" t="s">
        <v>47</v>
      </c>
      <c r="C8" s="22" t="n">
        <v>0.003</v>
      </c>
      <c r="D8" s="22" t="n">
        <v>0.003</v>
      </c>
      <c r="E8" s="25" t="s">
        <v>48</v>
      </c>
    </row>
    <row r="9" customFormat="false" ht="15" hidden="false" customHeight="true" outlineLevel="0" collapsed="false">
      <c r="B9" s="21" t="s">
        <v>49</v>
      </c>
      <c r="C9" s="22" t="n">
        <v>0.02</v>
      </c>
      <c r="D9" s="22" t="n">
        <v>0.02</v>
      </c>
      <c r="E9" s="23" t="s">
        <v>50</v>
      </c>
    </row>
    <row r="10" customFormat="false" ht="15" hidden="false" customHeight="true" outlineLevel="0" collapsed="false">
      <c r="B10" s="24" t="s">
        <v>51</v>
      </c>
      <c r="C10" s="22" t="n">
        <v>0.045</v>
      </c>
      <c r="D10" s="22" t="n">
        <v>0.045</v>
      </c>
      <c r="E10" s="25" t="s">
        <v>52</v>
      </c>
    </row>
    <row r="12" customFormat="false" ht="15.75" hidden="false" customHeight="true" outlineLevel="0" collapsed="false">
      <c r="B12" s="18" t="s">
        <v>53</v>
      </c>
      <c r="C12" s="19"/>
      <c r="D12" s="19"/>
      <c r="E12" s="19"/>
    </row>
    <row r="13" customFormat="false" ht="15" hidden="false" customHeight="true" outlineLevel="0" collapsed="false">
      <c r="B13" s="20" t="s">
        <v>37</v>
      </c>
      <c r="C13" s="20" t="s">
        <v>54</v>
      </c>
      <c r="D13" s="20" t="s">
        <v>55</v>
      </c>
      <c r="E13" s="20" t="s">
        <v>56</v>
      </c>
    </row>
    <row r="14" customFormat="false" ht="15" hidden="false" customHeight="true" outlineLevel="0" collapsed="false">
      <c r="B14" s="21" t="s">
        <v>57</v>
      </c>
      <c r="C14" s="26" t="n">
        <v>0.05</v>
      </c>
      <c r="D14" s="26" t="n">
        <v>0.055</v>
      </c>
      <c r="E14" s="27" t="n">
        <f aca="false">D14-C14</f>
        <v>0.005</v>
      </c>
    </row>
    <row r="15" customFormat="false" ht="15" hidden="false" customHeight="true" outlineLevel="0" collapsed="false">
      <c r="B15" s="24" t="s">
        <v>58</v>
      </c>
      <c r="C15" s="28" t="n">
        <v>0.01</v>
      </c>
      <c r="D15" s="28" t="n">
        <v>0.009</v>
      </c>
      <c r="E15" s="29" t="n">
        <f aca="false">D15-C15</f>
        <v>-0.001</v>
      </c>
    </row>
    <row r="16" customFormat="false" ht="15" hidden="false" customHeight="true" outlineLevel="0" collapsed="false">
      <c r="B16" s="21" t="s">
        <v>59</v>
      </c>
      <c r="C16" s="26" t="n">
        <v>0.08</v>
      </c>
      <c r="D16" s="26" t="n">
        <v>0.09</v>
      </c>
      <c r="E16" s="27" t="n">
        <f aca="false">D16-C16</f>
        <v>0.01</v>
      </c>
    </row>
    <row r="17" customFormat="false" ht="15" hidden="false" customHeight="true" outlineLevel="0" collapsed="false">
      <c r="B17" s="24" t="s">
        <v>60</v>
      </c>
      <c r="C17" s="30" t="n">
        <v>120</v>
      </c>
      <c r="D17" s="30" t="n">
        <v>135</v>
      </c>
      <c r="E17" s="31" t="n">
        <f aca="false">D17-C17</f>
        <v>15</v>
      </c>
    </row>
    <row r="18" customFormat="false" ht="15" hidden="false" customHeight="true" outlineLevel="0" collapsed="false">
      <c r="B18" s="21" t="s">
        <v>61</v>
      </c>
      <c r="C18" s="32" t="n">
        <v>5000</v>
      </c>
      <c r="D18" s="32" t="n">
        <v>5350</v>
      </c>
      <c r="E18" s="33" t="n">
        <f aca="false">D18-C18</f>
        <v>350</v>
      </c>
    </row>
    <row r="21" customFormat="false" ht="15.75" hidden="false" customHeight="true" outlineLevel="0" collapsed="false">
      <c r="B21" s="18" t="s">
        <v>62</v>
      </c>
      <c r="C21" s="19"/>
      <c r="D21" s="19"/>
      <c r="E21" s="19"/>
    </row>
    <row r="22" customFormat="false" ht="15" hidden="false" customHeight="true" outlineLevel="0" collapsed="false">
      <c r="B22" s="20" t="s">
        <v>63</v>
      </c>
      <c r="C22" s="20" t="s">
        <v>64</v>
      </c>
      <c r="D22" s="20" t="s">
        <v>65</v>
      </c>
      <c r="E22" s="20" t="s">
        <v>40</v>
      </c>
    </row>
    <row r="23" customFormat="false" ht="15" hidden="false" customHeight="true" outlineLevel="0" collapsed="false">
      <c r="B23" s="21" t="s">
        <v>66</v>
      </c>
      <c r="C23" s="34" t="n">
        <v>500</v>
      </c>
      <c r="D23" s="35" t="s">
        <v>67</v>
      </c>
      <c r="E23" s="23" t="s">
        <v>68</v>
      </c>
    </row>
    <row r="24" customFormat="false" ht="15" hidden="false" customHeight="true" outlineLevel="0" collapsed="false">
      <c r="B24" s="24" t="s">
        <v>69</v>
      </c>
      <c r="C24" s="34" t="n">
        <v>1200</v>
      </c>
      <c r="D24" s="36" t="s">
        <v>70</v>
      </c>
      <c r="E24" s="25" t="s">
        <v>71</v>
      </c>
    </row>
    <row r="25" customFormat="false" ht="15" hidden="false" customHeight="true" outlineLevel="0" collapsed="false">
      <c r="B25" s="21" t="s">
        <v>72</v>
      </c>
      <c r="C25" s="34" t="n">
        <v>350</v>
      </c>
      <c r="D25" s="35" t="s">
        <v>70</v>
      </c>
      <c r="E25" s="23" t="s">
        <v>73</v>
      </c>
    </row>
    <row r="26" customFormat="false" ht="15" hidden="false" customHeight="true" outlineLevel="0" collapsed="false">
      <c r="B26" s="24" t="s">
        <v>74</v>
      </c>
      <c r="C26" s="34" t="n">
        <v>800</v>
      </c>
      <c r="D26" s="36" t="s">
        <v>70</v>
      </c>
      <c r="E26" s="25" t="s">
        <v>75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27.75" hidden="false" customHeight="true" outlineLevel="0" collapsed="false">
      <c r="B1" s="17" t="s">
        <v>76</v>
      </c>
      <c r="C1" s="17"/>
      <c r="D1" s="17"/>
      <c r="E1" s="17"/>
    </row>
    <row r="3" customFormat="false" ht="15" hidden="false" customHeight="true" outlineLevel="0" collapsed="false">
      <c r="B3" s="20" t="s">
        <v>63</v>
      </c>
      <c r="C3" s="20" t="s">
        <v>77</v>
      </c>
      <c r="D3" s="20" t="s">
        <v>78</v>
      </c>
      <c r="E3" s="20" t="s">
        <v>79</v>
      </c>
    </row>
    <row r="4" customFormat="false" ht="15.75" hidden="false" customHeight="true" outlineLevel="0" collapsed="false">
      <c r="B4" s="18" t="s">
        <v>80</v>
      </c>
      <c r="C4" s="19"/>
      <c r="D4" s="19"/>
      <c r="E4" s="19"/>
    </row>
    <row r="5" customFormat="false" ht="15" hidden="false" customHeight="true" outlineLevel="0" collapsed="false">
      <c r="B5" s="37" t="s">
        <v>81</v>
      </c>
      <c r="C5" s="38" t="n">
        <v>120000</v>
      </c>
      <c r="D5" s="38" t="n">
        <v>121500</v>
      </c>
      <c r="E5" s="39" t="n">
        <f aca="false">D5-C5</f>
        <v>1500</v>
      </c>
    </row>
    <row r="6" customFormat="false" ht="15" hidden="false" customHeight="true" outlineLevel="0" collapsed="false">
      <c r="B6" s="40" t="s">
        <v>82</v>
      </c>
      <c r="C6" s="41" t="n">
        <v>40000</v>
      </c>
      <c r="D6" s="41" t="n">
        <v>43200</v>
      </c>
      <c r="E6" s="42" t="n">
        <f aca="false">D6-C6</f>
        <v>3200</v>
      </c>
    </row>
    <row r="7" customFormat="false" ht="15" hidden="false" customHeight="true" outlineLevel="0" collapsed="false">
      <c r="B7" s="37" t="s">
        <v>83</v>
      </c>
      <c r="C7" s="38" t="n">
        <v>20000</v>
      </c>
      <c r="D7" s="38" t="n">
        <v>20900</v>
      </c>
      <c r="E7" s="39" t="n">
        <f aca="false">D7-C7</f>
        <v>900</v>
      </c>
    </row>
    <row r="8" customFormat="false" ht="15" hidden="false" customHeight="true" outlineLevel="0" collapsed="false">
      <c r="B8" s="40" t="s">
        <v>84</v>
      </c>
      <c r="C8" s="41" t="n">
        <v>10000</v>
      </c>
      <c r="D8" s="41" t="n">
        <v>10200</v>
      </c>
      <c r="E8" s="42" t="n">
        <f aca="false">D8-C8</f>
        <v>200</v>
      </c>
    </row>
    <row r="9" customFormat="false" ht="15" hidden="false" customHeight="true" outlineLevel="0" collapsed="false">
      <c r="B9" s="37" t="s">
        <v>85</v>
      </c>
      <c r="C9" s="38" t="n">
        <v>1000</v>
      </c>
      <c r="D9" s="38" t="n">
        <v>1050</v>
      </c>
      <c r="E9" s="39" t="n">
        <f aca="false">D9-C9</f>
        <v>50</v>
      </c>
    </row>
    <row r="10" customFormat="false" ht="15" hidden="false" customHeight="true" outlineLevel="0" collapsed="false">
      <c r="B10" s="43" t="s">
        <v>86</v>
      </c>
      <c r="C10" s="44" t="n">
        <f aca="false">SUM(C5:C9)</f>
        <v>191000</v>
      </c>
      <c r="D10" s="44" t="n">
        <f aca="false">SUM(D5:D9)</f>
        <v>196850</v>
      </c>
      <c r="E10" s="44" t="n">
        <f aca="false">D10-C10</f>
        <v>5850</v>
      </c>
    </row>
    <row r="12" customFormat="false" ht="15.75" hidden="false" customHeight="true" outlineLevel="0" collapsed="false">
      <c r="B12" s="18" t="s">
        <v>87</v>
      </c>
      <c r="C12" s="19"/>
      <c r="D12" s="19"/>
      <c r="E12" s="19"/>
    </row>
    <row r="13" customFormat="false" ht="15" hidden="false" customHeight="true" outlineLevel="0" collapsed="false">
      <c r="B13" s="37" t="s">
        <v>88</v>
      </c>
      <c r="C13" s="38" t="n">
        <v>155000</v>
      </c>
      <c r="D13" s="38" t="n">
        <v>158500</v>
      </c>
      <c r="E13" s="39" t="n">
        <f aca="false">D13-C13</f>
        <v>3500</v>
      </c>
    </row>
    <row r="14" customFormat="false" ht="15" hidden="false" customHeight="true" outlineLevel="0" collapsed="false">
      <c r="B14" s="40" t="s">
        <v>89</v>
      </c>
      <c r="C14" s="41" t="n">
        <v>8000</v>
      </c>
      <c r="D14" s="41" t="n">
        <v>8200</v>
      </c>
      <c r="E14" s="42" t="n">
        <f aca="false">D14-C14</f>
        <v>200</v>
      </c>
    </row>
    <row r="15" customFormat="false" ht="15" hidden="false" customHeight="true" outlineLevel="0" collapsed="false">
      <c r="B15" s="37" t="s">
        <v>90</v>
      </c>
      <c r="C15" s="38" t="n">
        <v>2000</v>
      </c>
      <c r="D15" s="38" t="n">
        <v>2100</v>
      </c>
      <c r="E15" s="39" t="n">
        <f aca="false">D15-C15</f>
        <v>100</v>
      </c>
    </row>
    <row r="16" customFormat="false" ht="15" hidden="false" customHeight="true" outlineLevel="0" collapsed="false">
      <c r="B16" s="40" t="s">
        <v>91</v>
      </c>
      <c r="C16" s="41" t="n">
        <v>3000</v>
      </c>
      <c r="D16" s="41" t="n">
        <v>3200</v>
      </c>
      <c r="E16" s="42" t="n">
        <f aca="false">D16-C16</f>
        <v>200</v>
      </c>
    </row>
    <row r="17" customFormat="false" ht="15" hidden="false" customHeight="true" outlineLevel="0" collapsed="false">
      <c r="B17" s="43" t="s">
        <v>92</v>
      </c>
      <c r="C17" s="44" t="n">
        <f aca="false">SUM(C13:C16)</f>
        <v>168000</v>
      </c>
      <c r="D17" s="44" t="n">
        <f aca="false">SUM(D13:D16)</f>
        <v>172000</v>
      </c>
      <c r="E17" s="44" t="n">
        <f aca="false">D17-C17</f>
        <v>4000</v>
      </c>
    </row>
    <row r="19" customFormat="false" ht="15.75" hidden="false" customHeight="true" outlineLevel="0" collapsed="false">
      <c r="B19" s="18" t="s">
        <v>93</v>
      </c>
      <c r="C19" s="19"/>
      <c r="D19" s="19"/>
      <c r="E19" s="19"/>
    </row>
    <row r="20" customFormat="false" ht="15" hidden="false" customHeight="true" outlineLevel="0" collapsed="false">
      <c r="B20" s="45" t="s">
        <v>94</v>
      </c>
      <c r="C20" s="46" t="n">
        <f aca="false">C10-C17</f>
        <v>23000</v>
      </c>
      <c r="D20" s="47"/>
      <c r="E20" s="47"/>
    </row>
    <row r="21" customFormat="false" ht="15" hidden="false" customHeight="true" outlineLevel="0" collapsed="false">
      <c r="B21" s="45" t="s">
        <v>95</v>
      </c>
      <c r="C21" s="47"/>
      <c r="D21" s="46" t="n">
        <f aca="false">D10-D17</f>
        <v>24850</v>
      </c>
      <c r="E21" s="47"/>
    </row>
    <row r="22" customFormat="false" ht="15" hidden="false" customHeight="true" outlineLevel="0" collapsed="false">
      <c r="B22" s="45" t="s">
        <v>96</v>
      </c>
      <c r="C22" s="47"/>
      <c r="D22" s="47"/>
      <c r="E22" s="46" t="n">
        <f aca="false">D21-C20</f>
        <v>1850</v>
      </c>
    </row>
    <row r="24" customFormat="false" ht="15.75" hidden="false" customHeight="true" outlineLevel="0" collapsed="false">
      <c r="B24" s="18" t="s">
        <v>97</v>
      </c>
      <c r="C24" s="19"/>
      <c r="D24" s="19"/>
      <c r="E24" s="19"/>
    </row>
    <row r="25" customFormat="false" ht="15" hidden="false" customHeight="true" outlineLevel="0" collapsed="false">
      <c r="B25" s="37" t="s">
        <v>98</v>
      </c>
      <c r="C25" s="38" t="n">
        <v>25000</v>
      </c>
      <c r="D25" s="38" t="n">
        <v>26000</v>
      </c>
      <c r="E25" s="39" t="n">
        <f aca="false">D25-C25</f>
        <v>1000</v>
      </c>
    </row>
    <row r="26" customFormat="false" ht="15" hidden="false" customHeight="true" outlineLevel="0" collapsed="false">
      <c r="B26" s="40" t="s">
        <v>99</v>
      </c>
      <c r="C26" s="41" t="n">
        <v>7500</v>
      </c>
      <c r="D26" s="41" t="n">
        <v>7800</v>
      </c>
      <c r="E26" s="42" t="n">
        <f aca="false">D26-C26</f>
        <v>300</v>
      </c>
    </row>
    <row r="27" customFormat="false" ht="15" hidden="false" customHeight="true" outlineLevel="0" collapsed="false">
      <c r="B27" s="43" t="s">
        <v>100</v>
      </c>
      <c r="C27" s="44" t="n">
        <f aca="false">C20-C25</f>
        <v>-2000</v>
      </c>
      <c r="D27" s="44" t="n">
        <f aca="false">D21-D25</f>
        <v>-1150</v>
      </c>
      <c r="E27" s="44" t="n">
        <f aca="false">D27-C27</f>
        <v>850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3"/>
  </cols>
  <sheetData>
    <row r="1" customFormat="false" ht="27.75" hidden="false" customHeight="true" outlineLevel="0" collapsed="false">
      <c r="B1" s="17" t="s">
        <v>101</v>
      </c>
      <c r="C1" s="17"/>
      <c r="D1" s="17"/>
    </row>
    <row r="2" customFormat="false" ht="13.5" hidden="false" customHeight="true" outlineLevel="0" collapsed="false">
      <c r="B2" s="48" t="s">
        <v>102</v>
      </c>
      <c r="C2" s="48"/>
      <c r="D2" s="48"/>
    </row>
    <row r="4" customFormat="false" ht="15.75" hidden="false" customHeight="true" outlineLevel="0" collapsed="false">
      <c r="B4" s="20" t="s">
        <v>63</v>
      </c>
      <c r="C4" s="20" t="s">
        <v>103</v>
      </c>
      <c r="D4" s="20" t="s">
        <v>104</v>
      </c>
    </row>
    <row r="5" customFormat="false" ht="18" hidden="false" customHeight="true" outlineLevel="0" collapsed="false">
      <c r="B5" s="49" t="s">
        <v>105</v>
      </c>
      <c r="C5" s="50" t="n">
        <f aca="false">BalanceSheet!C20</f>
        <v>23000</v>
      </c>
      <c r="D5" s="50" t="n">
        <f aca="false">C5</f>
        <v>23000</v>
      </c>
    </row>
    <row r="7" customFormat="false" ht="15.75" hidden="false" customHeight="true" outlineLevel="0" collapsed="false">
      <c r="B7" s="51" t="s">
        <v>106</v>
      </c>
      <c r="C7" s="51"/>
      <c r="D7" s="51"/>
    </row>
    <row r="8" customFormat="false" ht="15" hidden="false" customHeight="true" outlineLevel="0" collapsed="false">
      <c r="B8" s="52" t="s">
        <v>107</v>
      </c>
      <c r="C8" s="53" t="n">
        <v>0</v>
      </c>
      <c r="D8" s="54"/>
    </row>
    <row r="9" customFormat="false" ht="15" hidden="false" customHeight="true" outlineLevel="0" collapsed="false">
      <c r="B9" s="55" t="s">
        <v>108</v>
      </c>
      <c r="C9" s="56" t="n">
        <v>0</v>
      </c>
      <c r="D9" s="57"/>
    </row>
    <row r="10" customFormat="false" ht="15" hidden="false" customHeight="true" outlineLevel="0" collapsed="false">
      <c r="B10" s="58" t="s">
        <v>109</v>
      </c>
      <c r="C10" s="44" t="n">
        <f aca="false">SUM(C8:C9)</f>
        <v>0</v>
      </c>
      <c r="D10" s="44" t="n">
        <f aca="false">C5+C10</f>
        <v>23000</v>
      </c>
    </row>
    <row r="12" customFormat="false" ht="15.75" hidden="false" customHeight="true" outlineLevel="0" collapsed="false">
      <c r="B12" s="51" t="s">
        <v>110</v>
      </c>
      <c r="C12" s="51"/>
      <c r="D12" s="51"/>
    </row>
    <row r="13" customFormat="false" ht="15" hidden="false" customHeight="true" outlineLevel="0" collapsed="false">
      <c r="B13" s="55" t="s">
        <v>111</v>
      </c>
      <c r="C13" s="59" t="n">
        <f aca="false">C5*Assumptions!C5</f>
        <v>115</v>
      </c>
      <c r="D13" s="57"/>
    </row>
    <row r="14" customFormat="false" ht="15" hidden="false" customHeight="true" outlineLevel="0" collapsed="false">
      <c r="B14" s="52" t="s">
        <v>112</v>
      </c>
      <c r="C14" s="53" t="n">
        <v>0</v>
      </c>
      <c r="D14" s="54"/>
    </row>
    <row r="15" customFormat="false" ht="15" hidden="false" customHeight="true" outlineLevel="0" collapsed="false">
      <c r="B15" s="58" t="s">
        <v>113</v>
      </c>
      <c r="C15" s="44" t="n">
        <f aca="false">SUM(C13:C14)</f>
        <v>115</v>
      </c>
      <c r="D15" s="44" t="n">
        <f aca="false">D10+C15</f>
        <v>23115</v>
      </c>
    </row>
    <row r="17" customFormat="false" ht="15.75" hidden="false" customHeight="true" outlineLevel="0" collapsed="false">
      <c r="B17" s="51" t="s">
        <v>114</v>
      </c>
      <c r="C17" s="51"/>
      <c r="D17" s="51"/>
    </row>
    <row r="18" customFormat="false" ht="15" hidden="false" customHeight="true" outlineLevel="0" collapsed="false">
      <c r="B18" s="52" t="s">
        <v>115</v>
      </c>
      <c r="C18" s="60" t="n">
        <f aca="false">BalanceSheet!C10*(Assumptions!C6-Assumptions!C5)</f>
        <v>3820</v>
      </c>
      <c r="D18" s="54"/>
    </row>
    <row r="19" customFormat="false" ht="15" hidden="false" customHeight="true" outlineLevel="0" collapsed="false">
      <c r="B19" s="55" t="s">
        <v>116</v>
      </c>
      <c r="C19" s="56" t="n">
        <v>0</v>
      </c>
      <c r="D19" s="57"/>
    </row>
    <row r="20" customFormat="false" ht="15" hidden="false" customHeight="true" outlineLevel="0" collapsed="false">
      <c r="B20" s="52" t="s">
        <v>117</v>
      </c>
      <c r="C20" s="53" t="n">
        <v>0</v>
      </c>
      <c r="D20" s="54"/>
    </row>
    <row r="21" customFormat="false" ht="15" hidden="false" customHeight="true" outlineLevel="0" collapsed="false">
      <c r="B21" s="55" t="s">
        <v>118</v>
      </c>
      <c r="C21" s="56" t="n">
        <v>0</v>
      </c>
      <c r="D21" s="57"/>
    </row>
    <row r="22" customFormat="false" ht="15" hidden="false" customHeight="true" outlineLevel="0" collapsed="false">
      <c r="B22" s="52" t="s">
        <v>119</v>
      </c>
      <c r="C22" s="53" t="n">
        <v>0</v>
      </c>
      <c r="D22" s="54"/>
    </row>
    <row r="23" customFormat="false" ht="15" hidden="false" customHeight="true" outlineLevel="0" collapsed="false">
      <c r="B23" s="58" t="s">
        <v>120</v>
      </c>
      <c r="C23" s="44" t="n">
        <f aca="false">SUM(C18:C22)</f>
        <v>3820</v>
      </c>
      <c r="D23" s="44" t="n">
        <f aca="false">D15+C23</f>
        <v>26935</v>
      </c>
    </row>
    <row r="25" customFormat="false" ht="15.75" hidden="false" customHeight="true" outlineLevel="0" collapsed="false">
      <c r="B25" s="51" t="s">
        <v>121</v>
      </c>
      <c r="C25" s="51"/>
      <c r="D25" s="51"/>
    </row>
    <row r="26" customFormat="false" ht="15" hidden="false" customHeight="true" outlineLevel="0" collapsed="false">
      <c r="B26" s="52" t="s">
        <v>122</v>
      </c>
      <c r="C26" s="53" t="n">
        <v>-50000</v>
      </c>
      <c r="D26" s="54"/>
    </row>
    <row r="27" customFormat="false" ht="15" hidden="false" customHeight="true" outlineLevel="0" collapsed="false">
      <c r="B27" s="55" t="s">
        <v>123</v>
      </c>
      <c r="C27" s="56" t="n">
        <v>15000</v>
      </c>
      <c r="D27" s="57"/>
    </row>
    <row r="28" customFormat="false" ht="15" hidden="false" customHeight="true" outlineLevel="0" collapsed="false">
      <c r="B28" s="52" t="s">
        <v>124</v>
      </c>
      <c r="C28" s="53" t="n">
        <v>-25000</v>
      </c>
      <c r="D28" s="54"/>
    </row>
    <row r="29" customFormat="false" ht="15" hidden="false" customHeight="true" outlineLevel="0" collapsed="false">
      <c r="B29" s="55" t="s">
        <v>125</v>
      </c>
      <c r="C29" s="56" t="n">
        <v>-30000</v>
      </c>
      <c r="D29" s="57"/>
    </row>
    <row r="30" customFormat="false" ht="15" hidden="false" customHeight="true" outlineLevel="0" collapsed="false">
      <c r="B30" s="52" t="s">
        <v>126</v>
      </c>
      <c r="C30" s="53" t="n">
        <v>0</v>
      </c>
      <c r="D30" s="54"/>
    </row>
    <row r="31" customFormat="false" ht="15" hidden="false" customHeight="true" outlineLevel="0" collapsed="false">
      <c r="B31" s="55" t="s">
        <v>127</v>
      </c>
      <c r="C31" s="56" t="n">
        <v>0</v>
      </c>
      <c r="D31" s="57"/>
    </row>
    <row r="32" customFormat="false" ht="15" hidden="false" customHeight="true" outlineLevel="0" collapsed="false">
      <c r="B32" s="58" t="s">
        <v>128</v>
      </c>
      <c r="C32" s="44" t="n">
        <f aca="false">SUM(C26:C31)</f>
        <v>-90000</v>
      </c>
      <c r="D32" s="44" t="n">
        <f aca="false">D23+C32</f>
        <v>-63065</v>
      </c>
    </row>
    <row r="34" customFormat="false" ht="15.75" hidden="false" customHeight="true" outlineLevel="0" collapsed="false">
      <c r="B34" s="51" t="s">
        <v>129</v>
      </c>
      <c r="C34" s="51"/>
      <c r="D34" s="51"/>
    </row>
    <row r="35" customFormat="false" ht="15" hidden="false" customHeight="true" outlineLevel="0" collapsed="false">
      <c r="B35" s="55" t="s">
        <v>130</v>
      </c>
      <c r="C35" s="56" t="n">
        <v>12000</v>
      </c>
      <c r="D35" s="57"/>
    </row>
    <row r="36" customFormat="false" ht="15" hidden="false" customHeight="true" outlineLevel="0" collapsed="false">
      <c r="B36" s="58" t="s">
        <v>131</v>
      </c>
      <c r="C36" s="44" t="n">
        <f aca="false">C35</f>
        <v>12000</v>
      </c>
      <c r="D36" s="44" t="n">
        <f aca="false">D32+C36</f>
        <v>-51065</v>
      </c>
    </row>
    <row r="38" customFormat="false" ht="15.75" hidden="false" customHeight="true" outlineLevel="0" collapsed="false">
      <c r="B38" s="51" t="s">
        <v>132</v>
      </c>
      <c r="C38" s="51"/>
      <c r="D38" s="51"/>
    </row>
    <row r="39" customFormat="false" ht="15" hidden="false" customHeight="true" outlineLevel="0" collapsed="false">
      <c r="B39" s="55" t="s">
        <v>133</v>
      </c>
      <c r="C39" s="56" t="n">
        <v>0</v>
      </c>
      <c r="D39" s="57"/>
    </row>
    <row r="40" customFormat="false" ht="15" hidden="false" customHeight="true" outlineLevel="0" collapsed="false">
      <c r="B40" s="52" t="s">
        <v>134</v>
      </c>
      <c r="C40" s="53" t="n">
        <v>0</v>
      </c>
      <c r="D40" s="54"/>
    </row>
    <row r="41" customFormat="false" ht="15" hidden="false" customHeight="true" outlineLevel="0" collapsed="false">
      <c r="B41" s="55" t="s">
        <v>135</v>
      </c>
      <c r="C41" s="56" t="n">
        <v>0</v>
      </c>
      <c r="D41" s="57"/>
    </row>
    <row r="42" customFormat="false" ht="15" hidden="false" customHeight="true" outlineLevel="0" collapsed="false">
      <c r="B42" s="58" t="s">
        <v>136</v>
      </c>
      <c r="C42" s="44" t="n">
        <f aca="false">SUM(C39:C41)</f>
        <v>0</v>
      </c>
      <c r="D42" s="44" t="n">
        <f aca="false">D36+C42</f>
        <v>-51065</v>
      </c>
    </row>
    <row r="44" customFormat="false" ht="15.75" hidden="false" customHeight="true" outlineLevel="0" collapsed="false">
      <c r="B44" s="51" t="s">
        <v>137</v>
      </c>
      <c r="C44" s="51"/>
      <c r="D44" s="51"/>
    </row>
    <row r="45" customFormat="false" ht="15" hidden="false" customHeight="true" outlineLevel="0" collapsed="false">
      <c r="B45" s="61" t="s">
        <v>138</v>
      </c>
      <c r="C45" s="62" t="n">
        <f aca="false">BalanceSheet!D21-D42</f>
        <v>75915</v>
      </c>
      <c r="D45" s="63" t="n">
        <f aca="false">D42+C45</f>
        <v>24850</v>
      </c>
    </row>
    <row r="47" customFormat="false" ht="15" hidden="false" customHeight="true" outlineLevel="0" collapsed="false">
      <c r="B47" s="49" t="s">
        <v>139</v>
      </c>
      <c r="C47" s="46" t="n">
        <f aca="false">D42+C45</f>
        <v>24850</v>
      </c>
      <c r="D47" s="46" t="n">
        <f aca="false">D45</f>
        <v>24850</v>
      </c>
    </row>
    <row r="48" customFormat="false" ht="15" hidden="false" customHeight="true" outlineLevel="0" collapsed="false">
      <c r="B48" s="64" t="s">
        <v>140</v>
      </c>
      <c r="C48" s="50" t="n">
        <f aca="false">BalanceSheet!D21</f>
        <v>24850</v>
      </c>
      <c r="D48" s="47"/>
    </row>
    <row r="49" customFormat="false" ht="15.75" hidden="false" customHeight="true" outlineLevel="0" collapsed="false">
      <c r="B49" s="65" t="s">
        <v>141</v>
      </c>
      <c r="C49" s="66" t="n">
        <f aca="false">C48-C47</f>
        <v>0</v>
      </c>
      <c r="D49" s="67"/>
    </row>
    <row r="51" customFormat="false" ht="15.75" hidden="false" customHeight="true" outlineLevel="0" collapsed="false">
      <c r="B51" s="68" t="s">
        <v>142</v>
      </c>
      <c r="C51" s="68"/>
      <c r="D51" s="68"/>
    </row>
    <row r="52" customFormat="false" ht="18" hidden="false" customHeight="true" outlineLevel="0" collapsed="false">
      <c r="B52" s="69" t="s">
        <v>143</v>
      </c>
      <c r="C52" s="69"/>
      <c r="D52" s="69"/>
    </row>
    <row r="53" customFormat="false" ht="18" hidden="false" customHeight="true" outlineLevel="0" collapsed="false">
      <c r="B53" s="70" t="s">
        <v>144</v>
      </c>
      <c r="C53" s="70"/>
      <c r="D53" s="70"/>
    </row>
    <row r="54" customFormat="false" ht="18" hidden="false" customHeight="true" outlineLevel="0" collapsed="false">
      <c r="B54" s="69" t="s">
        <v>145</v>
      </c>
      <c r="C54" s="69"/>
      <c r="D54" s="69"/>
    </row>
    <row r="55" customFormat="false" ht="18" hidden="false" customHeight="true" outlineLevel="0" collapsed="false">
      <c r="B55" s="70" t="s">
        <v>146</v>
      </c>
      <c r="C55" s="70"/>
      <c r="D55" s="70"/>
    </row>
    <row r="56" customFormat="false" ht="18" hidden="false" customHeight="true" outlineLevel="0" collapsed="false">
      <c r="B56" s="69" t="s">
        <v>147</v>
      </c>
      <c r="C56" s="69"/>
      <c r="D56" s="69"/>
    </row>
    <row r="57" customFormat="false" ht="18" hidden="false" customHeight="true" outlineLevel="0" collapsed="false">
      <c r="B57" s="70" t="s">
        <v>148</v>
      </c>
      <c r="C57" s="70"/>
      <c r="D57" s="70"/>
    </row>
    <row r="58" customFormat="false" ht="18" hidden="false" customHeight="true" outlineLevel="0" collapsed="false">
      <c r="B58" s="69" t="s">
        <v>149</v>
      </c>
      <c r="C58" s="69"/>
      <c r="D58" s="69"/>
    </row>
    <row r="59" customFormat="false" ht="18" hidden="false" customHeight="true" outlineLevel="0" collapsed="false">
      <c r="B59" s="70" t="s">
        <v>150</v>
      </c>
      <c r="C59" s="70"/>
      <c r="D59" s="70"/>
    </row>
  </sheetData>
  <mergeCells count="18">
    <mergeCell ref="B1:D1"/>
    <mergeCell ref="B2:D2"/>
    <mergeCell ref="B7:D7"/>
    <mergeCell ref="B12:D12"/>
    <mergeCell ref="B17:D17"/>
    <mergeCell ref="B25:D25"/>
    <mergeCell ref="B34:D34"/>
    <mergeCell ref="B38:D38"/>
    <mergeCell ref="B44:D44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25"/>
    <col collapsed="false" customWidth="true" hidden="false" outlineLevel="0" max="5" min="5" style="1" width="3"/>
  </cols>
  <sheetData>
    <row r="1" customFormat="false" ht="27.75" hidden="false" customHeight="true" outlineLevel="0" collapsed="false">
      <c r="B1" s="17" t="s">
        <v>151</v>
      </c>
      <c r="C1" s="17"/>
      <c r="D1" s="17"/>
    </row>
    <row r="2" customFormat="false" ht="15" hidden="false" customHeight="true" outlineLevel="0" collapsed="false">
      <c r="B2" s="48" t="s">
        <v>152</v>
      </c>
      <c r="C2" s="48"/>
      <c r="D2" s="48"/>
    </row>
    <row r="4" customFormat="false" ht="15.75" hidden="false" customHeight="true" outlineLevel="0" collapsed="false">
      <c r="B4" s="18" t="s">
        <v>153</v>
      </c>
      <c r="C4" s="19"/>
      <c r="D4" s="19"/>
    </row>
    <row r="5" customFormat="false" ht="15" hidden="false" customHeight="true" outlineLevel="0" collapsed="false">
      <c r="B5" s="20" t="s">
        <v>154</v>
      </c>
      <c r="C5" s="20" t="s">
        <v>64</v>
      </c>
      <c r="D5" s="20" t="s">
        <v>40</v>
      </c>
    </row>
    <row r="6" customFormat="false" ht="15" hidden="false" customHeight="true" outlineLevel="0" collapsed="false">
      <c r="B6" s="21" t="s">
        <v>41</v>
      </c>
      <c r="C6" s="22" t="n">
        <v>0.005</v>
      </c>
      <c r="D6" s="23" t="s">
        <v>155</v>
      </c>
    </row>
    <row r="7" customFormat="false" ht="15" hidden="false" customHeight="true" outlineLevel="0" collapsed="false">
      <c r="B7" s="24" t="s">
        <v>156</v>
      </c>
      <c r="C7" s="71" t="n">
        <v>200</v>
      </c>
      <c r="D7" s="25" t="s">
        <v>157</v>
      </c>
    </row>
    <row r="8" customFormat="false" ht="15" hidden="false" customHeight="true" outlineLevel="0" collapsed="false">
      <c r="B8" s="21" t="s">
        <v>158</v>
      </c>
      <c r="C8" s="71" t="n">
        <v>5</v>
      </c>
      <c r="D8" s="23" t="s">
        <v>159</v>
      </c>
    </row>
    <row r="9" customFormat="false" ht="15" hidden="false" customHeight="true" outlineLevel="0" collapsed="false">
      <c r="B9" s="24" t="s">
        <v>160</v>
      </c>
      <c r="C9" s="71" t="n">
        <v>10</v>
      </c>
      <c r="D9" s="25" t="s">
        <v>161</v>
      </c>
    </row>
    <row r="10" customFormat="false" ht="15" hidden="false" customHeight="true" outlineLevel="0" collapsed="false">
      <c r="B10" s="21" t="s">
        <v>162</v>
      </c>
      <c r="C10" s="71" t="n">
        <v>100</v>
      </c>
      <c r="D10" s="23" t="s">
        <v>163</v>
      </c>
    </row>
    <row r="11" customFormat="false" ht="15" hidden="false" customHeight="true" outlineLevel="0" collapsed="false">
      <c r="B11" s="24" t="s">
        <v>51</v>
      </c>
      <c r="C11" s="22" t="n">
        <v>0.045</v>
      </c>
      <c r="D11" s="25" t="s">
        <v>164</v>
      </c>
    </row>
    <row r="12" customFormat="false" ht="15" hidden="false" customHeight="true" outlineLevel="0" collapsed="false">
      <c r="B12" s="21" t="s">
        <v>165</v>
      </c>
      <c r="C12" s="71" t="n">
        <v>15</v>
      </c>
      <c r="D12" s="23" t="s">
        <v>166</v>
      </c>
    </row>
    <row r="13" customFormat="false" ht="15" hidden="false" customHeight="true" outlineLevel="0" collapsed="false">
      <c r="B13" s="24" t="s">
        <v>167</v>
      </c>
      <c r="C13" s="71" t="n">
        <v>10</v>
      </c>
      <c r="D13" s="25" t="s">
        <v>168</v>
      </c>
    </row>
    <row r="16" customFormat="false" ht="15.75" hidden="false" customHeight="true" outlineLevel="0" collapsed="false">
      <c r="B16" s="18" t="s">
        <v>169</v>
      </c>
      <c r="C16" s="19"/>
      <c r="D16" s="19"/>
    </row>
    <row r="17" customFormat="false" ht="15" hidden="false" customHeight="true" outlineLevel="0" collapsed="false">
      <c r="B17" s="20" t="s">
        <v>170</v>
      </c>
      <c r="C17" s="20" t="s">
        <v>171</v>
      </c>
      <c r="D17" s="20" t="s">
        <v>64</v>
      </c>
    </row>
    <row r="18" customFormat="false" ht="15" hidden="false" customHeight="true" outlineLevel="0" collapsed="false">
      <c r="B18" s="21" t="s">
        <v>172</v>
      </c>
      <c r="C18" s="72" t="n">
        <f aca="false">1/(1+C6)</f>
        <v>0.995024875621891</v>
      </c>
      <c r="D18" s="73" t="n">
        <f aca="false">1/(1+C6)</f>
        <v>0.995024875621891</v>
      </c>
    </row>
    <row r="19" customFormat="false" ht="15" hidden="false" customHeight="true" outlineLevel="0" collapsed="false">
      <c r="B19" s="24" t="s">
        <v>173</v>
      </c>
      <c r="C19" s="74" t="n">
        <f aca="false">C10*(1/(1+C6))^2</f>
        <v>99.0074503106359</v>
      </c>
      <c r="D19" s="75" t="n">
        <f aca="false">C10*(1/(1+C6))^2</f>
        <v>99.0074503106359</v>
      </c>
    </row>
    <row r="20" customFormat="false" ht="15" hidden="false" customHeight="true" outlineLevel="0" collapsed="false">
      <c r="B20" s="21" t="s">
        <v>174</v>
      </c>
      <c r="C20" s="72" t="n">
        <f aca="false">C8*(1/(1+C6))^0.5</f>
        <v>4.98754668053816</v>
      </c>
      <c r="D20" s="73" t="n">
        <f aca="false">C8*(1/(1+C6))^0.5</f>
        <v>4.98754668053816</v>
      </c>
    </row>
    <row r="21" customFormat="false" ht="15" hidden="false" customHeight="true" outlineLevel="0" collapsed="false">
      <c r="B21" s="24" t="s">
        <v>175</v>
      </c>
      <c r="C21" s="74" t="n">
        <f aca="false">C9*(1/(1+C6))^1.5</f>
        <v>9.92546603092172</v>
      </c>
      <c r="D21" s="75" t="n">
        <f aca="false">C9*(1/(1+C6))^1.5</f>
        <v>9.92546603092172</v>
      </c>
    </row>
    <row r="22" customFormat="false" ht="15" hidden="false" customHeight="true" outlineLevel="0" collapsed="false">
      <c r="B22" s="21" t="s">
        <v>176</v>
      </c>
      <c r="C22" s="72" t="n">
        <f aca="false">D19+D20+D21</f>
        <v>113.920463022096</v>
      </c>
      <c r="D22" s="73" t="n">
        <f aca="false">D19+D20+D21</f>
        <v>113.920463022096</v>
      </c>
    </row>
    <row r="23" customFormat="false" ht="15" hidden="false" customHeight="true" outlineLevel="0" collapsed="false">
      <c r="B23" s="24" t="s">
        <v>177</v>
      </c>
      <c r="C23" s="76" t="n">
        <f aca="false">C7</f>
        <v>200</v>
      </c>
      <c r="D23" s="75" t="n">
        <f aca="false">C7</f>
        <v>200</v>
      </c>
    </row>
    <row r="24" customFormat="false" ht="15" hidden="false" customHeight="true" outlineLevel="0" collapsed="false">
      <c r="B24" s="45" t="s">
        <v>178</v>
      </c>
      <c r="C24" s="77" t="n">
        <f aca="false">D23-D22</f>
        <v>86.0795369779042</v>
      </c>
      <c r="D24" s="78" t="n">
        <f aca="false">D23-D22</f>
        <v>86.0795369779042</v>
      </c>
    </row>
    <row r="27" customFormat="false" ht="15.75" hidden="false" customHeight="true" outlineLevel="0" collapsed="false">
      <c r="B27" s="18" t="s">
        <v>179</v>
      </c>
      <c r="C27" s="19"/>
      <c r="D27" s="19"/>
    </row>
    <row r="28" customFormat="false" ht="15" hidden="false" customHeight="true" outlineLevel="0" collapsed="false">
      <c r="B28" s="21" t="s">
        <v>180</v>
      </c>
      <c r="C28" s="72" t="n">
        <f aca="false">C7*(1+C11)-C12*(1+C11)^0.5</f>
        <v>193.666213774804</v>
      </c>
      <c r="D28" s="73" t="n">
        <f aca="false">C7*(1+C11)-C12*(1+C11)^0.5</f>
        <v>193.666213774804</v>
      </c>
    </row>
    <row r="29" customFormat="false" ht="15" hidden="false" customHeight="true" outlineLevel="0" collapsed="false">
      <c r="B29" s="24" t="s">
        <v>181</v>
      </c>
      <c r="C29" s="74" t="n">
        <f aca="false">1/(1+C6)</f>
        <v>0.995024875621891</v>
      </c>
      <c r="D29" s="75" t="n">
        <f aca="false">1/(1+C6)</f>
        <v>0.995024875621891</v>
      </c>
    </row>
    <row r="30" customFormat="false" ht="15" hidden="false" customHeight="true" outlineLevel="0" collapsed="false">
      <c r="B30" s="21" t="s">
        <v>182</v>
      </c>
      <c r="C30" s="72" t="n">
        <f aca="false">C10*(1/(1+C6))</f>
        <v>99.5024875621891</v>
      </c>
      <c r="D30" s="73" t="n">
        <f aca="false">C10*(1/(1+C6))</f>
        <v>99.5024875621891</v>
      </c>
    </row>
    <row r="31" customFormat="false" ht="15" hidden="false" customHeight="true" outlineLevel="0" collapsed="false">
      <c r="B31" s="24" t="s">
        <v>183</v>
      </c>
      <c r="C31" s="74" t="n">
        <f aca="false">C13*(1/(1+C6))^0.5</f>
        <v>9.97509336107633</v>
      </c>
      <c r="D31" s="75" t="n">
        <f aca="false">C13*(1/(1+C6))^0.5</f>
        <v>9.97509336107633</v>
      </c>
    </row>
    <row r="32" customFormat="false" ht="15" hidden="false" customHeight="true" outlineLevel="0" collapsed="false">
      <c r="B32" s="21" t="s">
        <v>184</v>
      </c>
      <c r="C32" s="72" t="n">
        <f aca="false">D30+D31</f>
        <v>109.477580923265</v>
      </c>
      <c r="D32" s="73" t="n">
        <f aca="false">D30+D31</f>
        <v>109.477580923265</v>
      </c>
    </row>
    <row r="33" customFormat="false" ht="15" hidden="false" customHeight="true" outlineLevel="0" collapsed="false">
      <c r="B33" s="45" t="s">
        <v>185</v>
      </c>
      <c r="C33" s="77" t="n">
        <f aca="false">D28-D32</f>
        <v>84.1886328515389</v>
      </c>
      <c r="D33" s="78" t="n">
        <f aca="false">D28-D32</f>
        <v>84.1886328515389</v>
      </c>
    </row>
    <row r="34" customFormat="false" ht="15" hidden="false" customHeight="true" outlineLevel="0" collapsed="false">
      <c r="B34" s="43" t="s">
        <v>186</v>
      </c>
      <c r="C34" s="79" t="n">
        <f aca="false">D33-D24</f>
        <v>-1.89090412636529</v>
      </c>
      <c r="D34" s="80" t="n">
        <f aca="false">D33-D24</f>
        <v>-1.89090412636529</v>
      </c>
    </row>
    <row r="37" customFormat="false" ht="15.75" hidden="false" customHeight="true" outlineLevel="0" collapsed="false">
      <c r="B37" s="18" t="s">
        <v>187</v>
      </c>
      <c r="C37" s="19"/>
      <c r="D37" s="19"/>
    </row>
    <row r="38" customFormat="false" ht="15" hidden="false" customHeight="true" outlineLevel="0" collapsed="false">
      <c r="B38" s="20" t="s">
        <v>188</v>
      </c>
      <c r="C38" s="20" t="s">
        <v>189</v>
      </c>
      <c r="D38" s="20" t="s">
        <v>190</v>
      </c>
    </row>
    <row r="39" customFormat="false" ht="21.75" hidden="false" customHeight="true" outlineLevel="0" collapsed="false">
      <c r="B39" s="21" t="s">
        <v>191</v>
      </c>
      <c r="C39" s="81" t="s">
        <v>192</v>
      </c>
      <c r="D39" s="73" t="n">
        <f aca="false">D24*C6</f>
        <v>0.430397684889521</v>
      </c>
    </row>
    <row r="40" customFormat="false" ht="30" hidden="false" customHeight="true" outlineLevel="0" collapsed="false">
      <c r="B40" s="24" t="s">
        <v>193</v>
      </c>
      <c r="C40" s="82" t="s">
        <v>194</v>
      </c>
      <c r="D40" s="75" t="n">
        <f aca="false">C7*(1+C11)^1-C12*(1+C11)^0.5 - (C7*(1+C6)^1-C12*(1+C6)^0.5)</f>
        <v>7.70366701662692</v>
      </c>
    </row>
    <row r="41" customFormat="false" ht="21.75" hidden="false" customHeight="true" outlineLevel="0" collapsed="false">
      <c r="B41" s="83" t="s">
        <v>195</v>
      </c>
      <c r="C41" s="81" t="s">
        <v>196</v>
      </c>
      <c r="D41" s="73" t="n">
        <f aca="false">C7*(C11-C6)</f>
        <v>8</v>
      </c>
    </row>
    <row r="42" customFormat="false" ht="30" hidden="false" customHeight="true" outlineLevel="0" collapsed="false">
      <c r="B42" s="24" t="s">
        <v>197</v>
      </c>
      <c r="C42" s="82" t="s">
        <v>198</v>
      </c>
      <c r="D42" s="75" t="n">
        <f aca="false">(C7*(1+C6)-C8*(1+C6)^0.5) - (C7*(1+C6)-C12*(1+C6)^0.5)</f>
        <v>10.0249688278817</v>
      </c>
    </row>
    <row r="43" customFormat="false" ht="32.25" hidden="false" customHeight="true" outlineLevel="0" collapsed="false">
      <c r="B43" s="83" t="s">
        <v>199</v>
      </c>
      <c r="C43" s="81" t="s">
        <v>200</v>
      </c>
      <c r="D43" s="73" t="n">
        <f aca="false">(C8-C12)*(1+C6)^0.5</f>
        <v>-10.0249688278817</v>
      </c>
    </row>
    <row r="44" customFormat="false" ht="30" hidden="false" customHeight="true" outlineLevel="0" collapsed="false">
      <c r="B44" s="43" t="s">
        <v>201</v>
      </c>
      <c r="C44" s="84" t="s">
        <v>202</v>
      </c>
      <c r="D44" s="80" t="n">
        <f aca="false">D39+D41+D43</f>
        <v>-1.59457114299219</v>
      </c>
    </row>
    <row r="45" customFormat="false" ht="15" hidden="false" customHeight="true" outlineLevel="0" collapsed="false">
      <c r="B45" s="45" t="s">
        <v>203</v>
      </c>
      <c r="C45" s="85" t="s">
        <v>204</v>
      </c>
      <c r="D45" s="86" t="n">
        <f aca="false">D44-D34</f>
        <v>0.296332983373095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3"/>
  </cols>
  <sheetData>
    <row r="1" customFormat="false" ht="27.75" hidden="false" customHeight="true" outlineLevel="0" collapsed="false">
      <c r="B1" s="17" t="s">
        <v>205</v>
      </c>
      <c r="C1" s="17"/>
      <c r="D1" s="17"/>
    </row>
    <row r="2" customFormat="false" ht="15" hidden="false" customHeight="true" outlineLevel="0" collapsed="false">
      <c r="B2" s="48" t="s">
        <v>206</v>
      </c>
      <c r="C2" s="48"/>
      <c r="D2" s="48"/>
    </row>
    <row r="4" customFormat="false" ht="15.75" hidden="false" customHeight="true" outlineLevel="0" collapsed="false">
      <c r="B4" s="18" t="s">
        <v>207</v>
      </c>
      <c r="C4" s="19"/>
      <c r="D4" s="19"/>
    </row>
    <row r="5" customFormat="false" ht="15" hidden="false" customHeight="true" outlineLevel="0" collapsed="false">
      <c r="B5" s="20" t="s">
        <v>170</v>
      </c>
      <c r="C5" s="20" t="s">
        <v>77</v>
      </c>
      <c r="D5" s="20" t="s">
        <v>78</v>
      </c>
    </row>
    <row r="6" customFormat="false" ht="15" hidden="false" customHeight="true" outlineLevel="0" collapsed="false">
      <c r="B6" s="21" t="s">
        <v>208</v>
      </c>
      <c r="C6" s="38" t="n">
        <v>20000</v>
      </c>
      <c r="D6" s="38" t="n">
        <v>21500</v>
      </c>
    </row>
    <row r="7" customFormat="false" ht="15" hidden="false" customHeight="true" outlineLevel="0" collapsed="false">
      <c r="B7" s="24" t="s">
        <v>209</v>
      </c>
      <c r="C7" s="41" t="n">
        <v>30000</v>
      </c>
      <c r="D7" s="41" t="n">
        <v>31000</v>
      </c>
    </row>
    <row r="8" customFormat="false" ht="15" hidden="false" customHeight="true" outlineLevel="0" collapsed="false">
      <c r="B8" s="21" t="s">
        <v>210</v>
      </c>
      <c r="C8" s="38" t="n">
        <v>-2000</v>
      </c>
      <c r="D8" s="38" t="n">
        <v>-2100</v>
      </c>
    </row>
    <row r="9" customFormat="false" ht="15" hidden="false" customHeight="true" outlineLevel="0" collapsed="false">
      <c r="B9" s="24" t="s">
        <v>211</v>
      </c>
      <c r="C9" s="41" t="n">
        <v>55000</v>
      </c>
      <c r="D9" s="41" t="n">
        <v>57000</v>
      </c>
    </row>
    <row r="10" customFormat="false" ht="15" hidden="false" customHeight="true" outlineLevel="0" collapsed="false">
      <c r="B10" s="43" t="s">
        <v>212</v>
      </c>
      <c r="C10" s="44" t="n">
        <f aca="false">SUM(C6:C9)</f>
        <v>103000</v>
      </c>
      <c r="D10" s="87"/>
    </row>
    <row r="11" customFormat="false" ht="15" hidden="false" customHeight="true" outlineLevel="0" collapsed="false">
      <c r="B11" s="43" t="s">
        <v>213</v>
      </c>
      <c r="C11" s="87"/>
      <c r="D11" s="44" t="n">
        <f aca="false">SUM(D6:D9)</f>
        <v>107400</v>
      </c>
    </row>
    <row r="13" customFormat="false" ht="15.75" hidden="false" customHeight="true" outlineLevel="0" collapsed="false">
      <c r="B13" s="18" t="s">
        <v>214</v>
      </c>
      <c r="C13" s="19"/>
      <c r="D13" s="19"/>
    </row>
    <row r="14" customFormat="false" ht="15" hidden="false" customHeight="true" outlineLevel="0" collapsed="false">
      <c r="B14" s="20" t="s">
        <v>63</v>
      </c>
      <c r="C14" s="20" t="s">
        <v>103</v>
      </c>
      <c r="D14" s="20" t="s">
        <v>215</v>
      </c>
    </row>
    <row r="15" customFormat="false" ht="15" hidden="false" customHeight="true" outlineLevel="0" collapsed="false">
      <c r="B15" s="45" t="s">
        <v>216</v>
      </c>
      <c r="C15" s="50" t="n">
        <f aca="false">C10</f>
        <v>103000</v>
      </c>
      <c r="D15" s="46" t="n">
        <f aca="false">C15</f>
        <v>103000</v>
      </c>
    </row>
    <row r="16" customFormat="false" ht="15" hidden="false" customHeight="true" outlineLevel="0" collapsed="false">
      <c r="B16" s="24" t="s">
        <v>217</v>
      </c>
      <c r="C16" s="88" t="n">
        <f aca="false">C10*0.005</f>
        <v>515</v>
      </c>
      <c r="D16" s="42" t="n">
        <f aca="false">D15+C16</f>
        <v>103515</v>
      </c>
    </row>
    <row r="17" customFormat="false" ht="15" hidden="false" customHeight="true" outlineLevel="0" collapsed="false">
      <c r="B17" s="21" t="s">
        <v>218</v>
      </c>
      <c r="C17" s="38" t="n">
        <v>0</v>
      </c>
      <c r="D17" s="39" t="n">
        <f aca="false">D16+C17</f>
        <v>103515</v>
      </c>
    </row>
    <row r="18" customFormat="false" ht="15" hidden="false" customHeight="true" outlineLevel="0" collapsed="false">
      <c r="B18" s="24" t="s">
        <v>219</v>
      </c>
      <c r="C18" s="88" t="n">
        <f aca="false">C9*0.005</f>
        <v>275</v>
      </c>
      <c r="D18" s="42" t="n">
        <f aca="false">D17+C18</f>
        <v>103790</v>
      </c>
    </row>
    <row r="19" customFormat="false" ht="15" hidden="false" customHeight="true" outlineLevel="0" collapsed="false">
      <c r="B19" s="21" t="s">
        <v>220</v>
      </c>
      <c r="C19" s="38" t="n">
        <v>0</v>
      </c>
      <c r="D19" s="39" t="n">
        <f aca="false">D18+C19</f>
        <v>103790</v>
      </c>
    </row>
    <row r="20" customFormat="false" ht="15" hidden="false" customHeight="true" outlineLevel="0" collapsed="false">
      <c r="B20" s="24" t="s">
        <v>221</v>
      </c>
      <c r="C20" s="41" t="n">
        <v>0</v>
      </c>
      <c r="D20" s="42" t="n">
        <f aca="false">D19+C20</f>
        <v>103790</v>
      </c>
    </row>
    <row r="21" customFormat="false" ht="15" hidden="false" customHeight="true" outlineLevel="0" collapsed="false">
      <c r="B21" s="21" t="s">
        <v>222</v>
      </c>
      <c r="C21" s="38" t="n">
        <v>0</v>
      </c>
      <c r="D21" s="39" t="n">
        <f aca="false">D20+C21</f>
        <v>103790</v>
      </c>
    </row>
    <row r="22" customFormat="false" ht="15" hidden="false" customHeight="true" outlineLevel="0" collapsed="false">
      <c r="B22" s="24" t="s">
        <v>223</v>
      </c>
      <c r="C22" s="41" t="n">
        <v>0</v>
      </c>
      <c r="D22" s="42" t="n">
        <f aca="false">D21+C22</f>
        <v>103790</v>
      </c>
    </row>
    <row r="23" customFormat="false" ht="15" hidden="false" customHeight="true" outlineLevel="0" collapsed="false">
      <c r="B23" s="21" t="s">
        <v>224</v>
      </c>
      <c r="C23" s="38" t="n">
        <v>0</v>
      </c>
      <c r="D23" s="39" t="n">
        <f aca="false">D22+C23</f>
        <v>103790</v>
      </c>
    </row>
    <row r="24" customFormat="false" ht="15" hidden="false" customHeight="true" outlineLevel="0" collapsed="false">
      <c r="B24" s="24" t="s">
        <v>225</v>
      </c>
      <c r="C24" s="88" t="n">
        <f aca="false">D23-C10</f>
        <v>790</v>
      </c>
      <c r="D24" s="42" t="n">
        <f aca="false">D23+C24</f>
        <v>104580</v>
      </c>
    </row>
    <row r="25" customFormat="false" ht="15" hidden="false" customHeight="true" outlineLevel="0" collapsed="false">
      <c r="B25" s="45" t="s">
        <v>226</v>
      </c>
      <c r="C25" s="46" t="n">
        <f aca="false">D24</f>
        <v>104580</v>
      </c>
      <c r="D25" s="46" t="n">
        <f aca="false">D24</f>
        <v>104580</v>
      </c>
    </row>
    <row r="26" customFormat="false" ht="15" hidden="false" customHeight="true" outlineLevel="0" collapsed="false">
      <c r="B26" s="45" t="s">
        <v>227</v>
      </c>
      <c r="C26" s="46" t="n">
        <f aca="false">D11</f>
        <v>107400</v>
      </c>
      <c r="D26" s="46" t="n">
        <f aca="false">D11</f>
        <v>107400</v>
      </c>
    </row>
    <row r="27" customFormat="false" ht="15" hidden="false" customHeight="true" outlineLevel="0" collapsed="false">
      <c r="B27" s="89" t="s">
        <v>228</v>
      </c>
      <c r="C27" s="66" t="n">
        <f aca="false">C26-C25</f>
        <v>2820</v>
      </c>
      <c r="D27" s="66" t="n">
        <f aca="false">C27</f>
        <v>2820</v>
      </c>
    </row>
    <row r="30" customFormat="false" ht="15.75" hidden="false" customHeight="true" outlineLevel="0" collapsed="false">
      <c r="B30" s="18" t="s">
        <v>229</v>
      </c>
      <c r="C30" s="19"/>
      <c r="D30" s="19"/>
    </row>
    <row r="31" customFormat="false" ht="90" hidden="false" customHeight="true" outlineLevel="0" collapsed="false">
      <c r="B31" s="90" t="s">
        <v>230</v>
      </c>
      <c r="C31" s="90"/>
      <c r="D31" s="90"/>
    </row>
    <row r="32" customFormat="false" ht="15" hidden="false" customHeight="true" outlineLevel="0" collapsed="false">
      <c r="B32" s="90"/>
      <c r="C32" s="90"/>
      <c r="D32" s="90"/>
    </row>
    <row r="33" customFormat="false" ht="15" hidden="false" customHeight="true" outlineLevel="0" collapsed="false">
      <c r="B33" s="90"/>
      <c r="C33" s="90"/>
      <c r="D33" s="90"/>
    </row>
    <row r="34" customFormat="false" ht="15" hidden="false" customHeight="true" outlineLevel="0" collapsed="false">
      <c r="B34" s="90"/>
      <c r="C34" s="90"/>
      <c r="D34" s="90"/>
    </row>
    <row r="35" customFormat="false" ht="15" hidden="false" customHeight="true" outlineLevel="0" collapsed="false">
      <c r="B35" s="90"/>
      <c r="C35" s="90"/>
      <c r="D35" s="90"/>
    </row>
  </sheetData>
  <mergeCells count="3">
    <mergeCell ref="B1:D1"/>
    <mergeCell ref="B2:D2"/>
    <mergeCell ref="B31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6" min="3" style="1" width="15"/>
    <col collapsed="false" customWidth="true" hidden="false" outlineLevel="0" max="7" min="7" style="1" width="3"/>
  </cols>
  <sheetData>
    <row r="1" customFormat="false" ht="27.75" hidden="false" customHeight="true" outlineLevel="0" collapsed="false">
      <c r="B1" s="17" t="s">
        <v>231</v>
      </c>
      <c r="C1" s="17"/>
      <c r="D1" s="17"/>
      <c r="E1" s="17"/>
      <c r="F1" s="17"/>
    </row>
    <row r="2" customFormat="false" ht="15" hidden="false" customHeight="true" outlineLevel="0" collapsed="false">
      <c r="B2" s="48" t="s">
        <v>232</v>
      </c>
      <c r="C2" s="48"/>
      <c r="D2" s="48"/>
      <c r="E2" s="48"/>
      <c r="F2" s="48"/>
    </row>
    <row r="4" customFormat="false" ht="15.75" hidden="false" customHeight="true" outlineLevel="0" collapsed="false">
      <c r="B4" s="18" t="s">
        <v>233</v>
      </c>
      <c r="C4" s="19"/>
      <c r="D4" s="19"/>
      <c r="E4" s="19"/>
      <c r="F4" s="19"/>
    </row>
    <row r="5" customFormat="false" ht="15" hidden="false" customHeight="true" outlineLevel="0" collapsed="false">
      <c r="B5" s="20" t="s">
        <v>63</v>
      </c>
      <c r="C5" s="20" t="s">
        <v>234</v>
      </c>
      <c r="D5" s="20" t="s">
        <v>235</v>
      </c>
      <c r="E5" s="20" t="s">
        <v>236</v>
      </c>
      <c r="F5" s="20" t="s">
        <v>237</v>
      </c>
    </row>
    <row r="6" customFormat="false" ht="15" hidden="false" customHeight="true" outlineLevel="0" collapsed="false">
      <c r="B6" s="21" t="s">
        <v>238</v>
      </c>
      <c r="C6" s="91" t="n">
        <v>10000</v>
      </c>
      <c r="D6" s="91" t="n">
        <v>10200</v>
      </c>
      <c r="E6" s="91" t="n">
        <v>10100</v>
      </c>
      <c r="F6" s="91" t="n">
        <v>10050</v>
      </c>
    </row>
    <row r="7" customFormat="false" ht="15" hidden="false" customHeight="true" outlineLevel="0" collapsed="false">
      <c r="B7" s="24" t="s">
        <v>61</v>
      </c>
      <c r="C7" s="91" t="n">
        <v>1800</v>
      </c>
      <c r="D7" s="91" t="n">
        <v>1950</v>
      </c>
      <c r="E7" s="91" t="n">
        <v>1870</v>
      </c>
      <c r="F7" s="91" t="n">
        <v>1820</v>
      </c>
    </row>
    <row r="8" customFormat="false" ht="15" hidden="false" customHeight="true" outlineLevel="0" collapsed="false">
      <c r="B8" s="21" t="s">
        <v>239</v>
      </c>
      <c r="C8" s="91" t="n">
        <v>1500</v>
      </c>
      <c r="D8" s="91" t="n">
        <v>1600</v>
      </c>
      <c r="E8" s="91" t="n">
        <v>1530</v>
      </c>
      <c r="F8" s="91" t="n">
        <v>1480</v>
      </c>
    </row>
    <row r="9" customFormat="false" ht="15" hidden="false" customHeight="true" outlineLevel="0" collapsed="false">
      <c r="B9" s="24" t="s">
        <v>240</v>
      </c>
      <c r="C9" s="91" t="n">
        <v>200</v>
      </c>
      <c r="D9" s="91" t="n">
        <v>230</v>
      </c>
      <c r="E9" s="91" t="n">
        <v>210</v>
      </c>
      <c r="F9" s="91" t="n">
        <v>200</v>
      </c>
    </row>
    <row r="10" customFormat="false" ht="15" hidden="false" customHeight="true" outlineLevel="0" collapsed="false">
      <c r="B10" s="21" t="s">
        <v>241</v>
      </c>
      <c r="C10" s="91" t="n">
        <v>100</v>
      </c>
      <c r="D10" s="91" t="n">
        <v>120</v>
      </c>
      <c r="E10" s="91" t="n">
        <v>130</v>
      </c>
      <c r="F10" s="91" t="n">
        <v>140</v>
      </c>
    </row>
    <row r="11" customFormat="false" ht="15" hidden="false" customHeight="true" outlineLevel="0" collapsed="false">
      <c r="B11" s="24" t="s">
        <v>242</v>
      </c>
      <c r="C11" s="91" t="n">
        <v>3000</v>
      </c>
      <c r="D11" s="91" t="n">
        <v>3100</v>
      </c>
      <c r="E11" s="91" t="n">
        <v>3080</v>
      </c>
      <c r="F11" s="91" t="n">
        <v>3050</v>
      </c>
    </row>
    <row r="12" customFormat="false" ht="15" hidden="false" customHeight="true" outlineLevel="0" collapsed="false">
      <c r="B12" s="21" t="s">
        <v>243</v>
      </c>
      <c r="C12" s="91" t="n">
        <v>520</v>
      </c>
      <c r="D12" s="91" t="n">
        <v>560</v>
      </c>
      <c r="E12" s="91" t="n">
        <v>540</v>
      </c>
      <c r="F12" s="91" t="n">
        <v>530</v>
      </c>
    </row>
    <row r="13" customFormat="false" ht="15" hidden="false" customHeight="true" outlineLevel="0" collapsed="false">
      <c r="B13" s="24" t="s">
        <v>244</v>
      </c>
      <c r="C13" s="22" t="n">
        <v>0.6</v>
      </c>
      <c r="D13" s="22" t="n">
        <v>0.6</v>
      </c>
      <c r="E13" s="22" t="n">
        <v>0.6</v>
      </c>
      <c r="F13" s="22" t="n">
        <v>0.6</v>
      </c>
    </row>
    <row r="14" customFormat="false" ht="15" hidden="false" customHeight="true" outlineLevel="0" collapsed="false">
      <c r="B14" s="21" t="s">
        <v>245</v>
      </c>
      <c r="C14" s="22" t="n">
        <v>0.052</v>
      </c>
      <c r="D14" s="22" t="n">
        <v>0.052</v>
      </c>
      <c r="E14" s="22" t="n">
        <v>0.052</v>
      </c>
      <c r="F14" s="22" t="n">
        <v>0.052</v>
      </c>
    </row>
    <row r="15" customFormat="false" ht="15" hidden="false" customHeight="true" outlineLevel="0" collapsed="false">
      <c r="B15" s="24" t="s">
        <v>246</v>
      </c>
      <c r="C15" s="91" t="n">
        <v>3462</v>
      </c>
      <c r="D15" s="91" t="n">
        <v>3462</v>
      </c>
      <c r="E15" s="91" t="n">
        <v>3462</v>
      </c>
      <c r="F15" s="91" t="n">
        <v>3462</v>
      </c>
    </row>
    <row r="18" customFormat="false" ht="15.75" hidden="false" customHeight="true" outlineLevel="0" collapsed="false">
      <c r="B18" s="18" t="s">
        <v>247</v>
      </c>
      <c r="C18" s="19"/>
      <c r="D18" s="19"/>
      <c r="E18" s="19"/>
      <c r="F18" s="19"/>
    </row>
    <row r="19" customFormat="false" ht="15" hidden="false" customHeight="true" outlineLevel="0" collapsed="false">
      <c r="B19" s="20" t="s">
        <v>248</v>
      </c>
      <c r="C19" s="20" t="s">
        <v>234</v>
      </c>
      <c r="D19" s="20" t="s">
        <v>235</v>
      </c>
      <c r="E19" s="20" t="s">
        <v>236</v>
      </c>
      <c r="F19" s="20" t="s">
        <v>237</v>
      </c>
    </row>
    <row r="20" customFormat="false" ht="15" hidden="false" customHeight="true" outlineLevel="0" collapsed="false">
      <c r="B20" s="21" t="s">
        <v>249</v>
      </c>
      <c r="C20" s="92" t="n">
        <f aca="false">C12/C6</f>
        <v>0.052</v>
      </c>
      <c r="D20" s="92" t="n">
        <f aca="false">D12/D6</f>
        <v>0.0549019607843137</v>
      </c>
      <c r="E20" s="92" t="n">
        <f aca="false">E12/E6</f>
        <v>0.0534653465346535</v>
      </c>
      <c r="F20" s="92" t="n">
        <f aca="false">F12/F6</f>
        <v>0.0527363184079602</v>
      </c>
    </row>
    <row r="21" customFormat="false" ht="15" hidden="false" customHeight="true" outlineLevel="0" collapsed="false">
      <c r="B21" s="24" t="s">
        <v>250</v>
      </c>
      <c r="C21" s="93" t="n">
        <f aca="false">C14</f>
        <v>0.052</v>
      </c>
      <c r="D21" s="93" t="n">
        <f aca="false">D14</f>
        <v>0.052</v>
      </c>
      <c r="E21" s="93" t="n">
        <f aca="false">E14</f>
        <v>0.052</v>
      </c>
      <c r="F21" s="93" t="n">
        <f aca="false">F14</f>
        <v>0.052</v>
      </c>
    </row>
    <row r="22" customFormat="false" ht="15" hidden="false" customHeight="true" outlineLevel="0" collapsed="false">
      <c r="B22" s="94" t="s">
        <v>251</v>
      </c>
      <c r="C22" s="95" t="n">
        <f aca="false">C20-C21</f>
        <v>0</v>
      </c>
      <c r="D22" s="95" t="n">
        <f aca="false">D20-D21</f>
        <v>0.00290196078431373</v>
      </c>
      <c r="E22" s="95" t="n">
        <f aca="false">E20-E21</f>
        <v>0.00146534653465347</v>
      </c>
      <c r="F22" s="95" t="n">
        <f aca="false">F20-F21</f>
        <v>0.0007363184079602</v>
      </c>
    </row>
    <row r="23" customFormat="false" ht="15" hidden="false" customHeight="true" outlineLevel="0" collapsed="false">
      <c r="B23" s="24" t="s">
        <v>252</v>
      </c>
      <c r="C23" s="96" t="n">
        <f aca="false">C7*1000/C12</f>
        <v>3461.53846153846</v>
      </c>
      <c r="D23" s="96" t="n">
        <f aca="false">D7*1000/D12</f>
        <v>3482.14285714286</v>
      </c>
      <c r="E23" s="96" t="n">
        <f aca="false">E7*1000/E12</f>
        <v>3462.96296296296</v>
      </c>
      <c r="F23" s="96" t="n">
        <f aca="false">F7*1000/F12</f>
        <v>3433.96226415094</v>
      </c>
    </row>
    <row r="24" customFormat="false" ht="15" hidden="false" customHeight="true" outlineLevel="0" collapsed="false">
      <c r="B24" s="21" t="s">
        <v>253</v>
      </c>
      <c r="C24" s="97" t="n">
        <f aca="false">C15</f>
        <v>3462</v>
      </c>
      <c r="D24" s="97" t="n">
        <f aca="false">D15</f>
        <v>3462</v>
      </c>
      <c r="E24" s="97" t="n">
        <f aca="false">E15</f>
        <v>3462</v>
      </c>
      <c r="F24" s="97" t="n">
        <f aca="false">F15</f>
        <v>3462</v>
      </c>
    </row>
    <row r="25" customFormat="false" ht="15" hidden="false" customHeight="true" outlineLevel="0" collapsed="false">
      <c r="B25" s="94" t="s">
        <v>254</v>
      </c>
      <c r="C25" s="98" t="n">
        <f aca="false">C23-C24</f>
        <v>-0.461538461538567</v>
      </c>
      <c r="D25" s="98" t="n">
        <f aca="false">D23-D24</f>
        <v>20.1428571428573</v>
      </c>
      <c r="E25" s="98" t="n">
        <f aca="false">E23-E24</f>
        <v>0.962962962963047</v>
      </c>
      <c r="F25" s="98" t="n">
        <f aca="false">F23-F24</f>
        <v>-28.0377358490564</v>
      </c>
    </row>
    <row r="26" customFormat="false" ht="15" hidden="false" customHeight="true" outlineLevel="0" collapsed="false">
      <c r="B26" s="21" t="s">
        <v>255</v>
      </c>
      <c r="C26" s="99" t="n">
        <f aca="false">C7/C11</f>
        <v>0.6</v>
      </c>
      <c r="D26" s="99" t="n">
        <f aca="false">D7/D11</f>
        <v>0.629032258064516</v>
      </c>
      <c r="E26" s="99" t="n">
        <f aca="false">E7/E11</f>
        <v>0.607142857142857</v>
      </c>
      <c r="F26" s="99" t="n">
        <f aca="false">F7/F11</f>
        <v>0.59672131147541</v>
      </c>
    </row>
    <row r="27" customFormat="false" ht="15" hidden="false" customHeight="true" outlineLevel="0" collapsed="false">
      <c r="B27" s="24" t="s">
        <v>256</v>
      </c>
      <c r="C27" s="100" t="n">
        <f aca="false">C13</f>
        <v>0.6</v>
      </c>
      <c r="D27" s="100" t="n">
        <f aca="false">D13</f>
        <v>0.6</v>
      </c>
      <c r="E27" s="100" t="n">
        <f aca="false">E13</f>
        <v>0.6</v>
      </c>
      <c r="F27" s="100" t="n">
        <f aca="false">F13</f>
        <v>0.6</v>
      </c>
    </row>
    <row r="28" customFormat="false" ht="15" hidden="false" customHeight="true" outlineLevel="0" collapsed="false">
      <c r="B28" s="94" t="s">
        <v>257</v>
      </c>
      <c r="C28" s="101" t="n">
        <f aca="false">C26-C27</f>
        <v>0</v>
      </c>
      <c r="D28" s="101" t="n">
        <f aca="false">D26-D27</f>
        <v>0.0290322580645161</v>
      </c>
      <c r="E28" s="101" t="n">
        <f aca="false">E26-E27</f>
        <v>0.00714285714285712</v>
      </c>
      <c r="F28" s="101" t="n">
        <f aca="false">F26-F27</f>
        <v>-0.00327868852459012</v>
      </c>
    </row>
    <row r="31" customFormat="false" ht="15.75" hidden="false" customHeight="true" outlineLevel="0" collapsed="false">
      <c r="B31" s="18" t="s">
        <v>258</v>
      </c>
      <c r="C31" s="19"/>
      <c r="D31" s="19"/>
      <c r="E31" s="19"/>
      <c r="F31" s="19"/>
    </row>
    <row r="32" customFormat="false" ht="15" hidden="false" customHeight="true" outlineLevel="0" collapsed="false">
      <c r="B32" s="102" t="s">
        <v>259</v>
      </c>
      <c r="C32" s="102"/>
      <c r="D32" s="102"/>
      <c r="E32" s="102"/>
      <c r="F32" s="102"/>
    </row>
    <row r="33" customFormat="false" ht="15" hidden="false" customHeight="true" outlineLevel="0" collapsed="false">
      <c r="B33" s="103" t="s">
        <v>260</v>
      </c>
      <c r="C33" s="103"/>
      <c r="D33" s="103"/>
      <c r="E33" s="103"/>
      <c r="F33" s="103"/>
    </row>
    <row r="34" customFormat="false" ht="15" hidden="false" customHeight="true" outlineLevel="0" collapsed="false">
      <c r="B34" s="102" t="s">
        <v>261</v>
      </c>
      <c r="C34" s="102"/>
      <c r="D34" s="102"/>
      <c r="E34" s="102"/>
      <c r="F34" s="102"/>
    </row>
    <row r="35" customFormat="false" ht="15" hidden="false" customHeight="true" outlineLevel="0" collapsed="false">
      <c r="B35" s="103" t="s">
        <v>262</v>
      </c>
      <c r="C35" s="103"/>
      <c r="D35" s="103"/>
      <c r="E35" s="103"/>
      <c r="F35" s="103"/>
    </row>
    <row r="36" customFormat="false" ht="15" hidden="false" customHeight="true" outlineLevel="0" collapsed="false">
      <c r="B36" s="102" t="s">
        <v>263</v>
      </c>
      <c r="C36" s="102"/>
      <c r="D36" s="102"/>
      <c r="E36" s="102"/>
      <c r="F36" s="102"/>
    </row>
    <row r="37" customFormat="false" ht="15" hidden="false" customHeight="true" outlineLevel="0" collapsed="false">
      <c r="B37" s="103" t="s">
        <v>264</v>
      </c>
      <c r="C37" s="103"/>
      <c r="D37" s="103"/>
      <c r="E37" s="103"/>
      <c r="F37" s="103"/>
    </row>
    <row r="38" customFormat="false" ht="15" hidden="false" customHeight="true" outlineLevel="0" collapsed="false">
      <c r="B38" s="102" t="s">
        <v>265</v>
      </c>
      <c r="C38" s="102"/>
      <c r="D38" s="102"/>
      <c r="E38" s="102"/>
      <c r="F38" s="102"/>
    </row>
  </sheetData>
  <mergeCells count="9">
    <mergeCell ref="B1:F1"/>
    <mergeCell ref="B2:F2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2026-04-16T16:38:04Z</dcterms:created>
  <dc:creator>openpyxl</dc:creator>
  <dc:description/>
  <dc:language>en-US</dc:language>
  <cp:lastModifiedBy/>
  <dcterms:modified xsi:type="dcterms:W3CDTF">2026-04-16T16:40:54Z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