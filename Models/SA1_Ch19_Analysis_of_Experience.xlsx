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Girish\IAI\SP1 and SA1 Health and Care\Practice papers\Claude Widgets\Models\"/>
    </mc:Choice>
  </mc:AlternateContent>
  <xr:revisionPtr revIDLastSave="0" documentId="13_ncr:1_{8787AD4A-0893-4A59-A8E7-96E1A2CE6FA7}" xr6:coauthVersionLast="47" xr6:coauthVersionMax="47" xr10:uidLastSave="{00000000-0000-0000-0000-000000000000}"/>
  <bookViews>
    <workbookView xWindow="-108" yWindow="-108" windowWidth="23256" windowHeight="13176" tabRatio="757" activeTab="2" xr2:uid="{00000000-000D-0000-FFFF-FFFF00000000}"/>
  </bookViews>
  <sheets>
    <sheet name="Overview" sheetId="1" r:id="rId1"/>
    <sheet name="Morbidity Analysis" sheetId="2" r:id="rId2"/>
    <sheet name="Mortality Analysis" sheetId="3" r:id="rId3"/>
    <sheet name="Claim Amount" sheetId="4" r:id="rId4"/>
    <sheet name="Lapse &amp; Movement" sheetId="5" r:id="rId5"/>
    <sheet name="Expense Analysis" sheetId="6" r:id="rId6"/>
    <sheet name="Portfolio Analysis" sheetId="7" r:id="rId7"/>
    <sheet name="Insurance Cycle" sheetId="8" r:id="rId8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13" i="7" l="1"/>
  <c r="F9" i="7"/>
  <c r="E9" i="7"/>
  <c r="D9" i="7"/>
  <c r="C9" i="7"/>
  <c r="G9" i="7" s="1"/>
  <c r="G8" i="7"/>
  <c r="F8" i="7"/>
  <c r="D8" i="7"/>
  <c r="G7" i="7"/>
  <c r="F7" i="7"/>
  <c r="D7" i="7"/>
  <c r="G6" i="7"/>
  <c r="F6" i="7"/>
  <c r="D6" i="7"/>
  <c r="G5" i="7"/>
  <c r="F5" i="7"/>
  <c r="D5" i="7"/>
  <c r="D12" i="6"/>
  <c r="C12" i="6"/>
  <c r="F11" i="6"/>
  <c r="E11" i="6"/>
  <c r="E10" i="6"/>
  <c r="F10" i="6" s="1"/>
  <c r="F9" i="6"/>
  <c r="E9" i="6"/>
  <c r="E8" i="6"/>
  <c r="F8" i="6" s="1"/>
  <c r="F7" i="6"/>
  <c r="E7" i="6"/>
  <c r="E6" i="6"/>
  <c r="F6" i="6" s="1"/>
  <c r="F5" i="6"/>
  <c r="E5" i="6"/>
  <c r="E4" i="6"/>
  <c r="F4" i="6" s="1"/>
  <c r="H17" i="5"/>
  <c r="G17" i="5"/>
  <c r="F17" i="5"/>
  <c r="G16" i="5"/>
  <c r="H16" i="5" s="1"/>
  <c r="F16" i="5"/>
  <c r="F15" i="5"/>
  <c r="G15" i="5" s="1"/>
  <c r="H15" i="5" s="1"/>
  <c r="F14" i="5"/>
  <c r="G14" i="5" s="1"/>
  <c r="H14" i="5" s="1"/>
  <c r="H13" i="5"/>
  <c r="G13" i="5"/>
  <c r="F13" i="5"/>
  <c r="G12" i="5"/>
  <c r="H12" i="5" s="1"/>
  <c r="F12" i="5"/>
  <c r="F11" i="5"/>
  <c r="G11" i="5" s="1"/>
  <c r="H11" i="5" s="1"/>
  <c r="H10" i="5"/>
  <c r="G10" i="5"/>
  <c r="F10" i="5"/>
  <c r="H9" i="5"/>
  <c r="G9" i="5"/>
  <c r="F9" i="5"/>
  <c r="G18" i="4"/>
  <c r="E18" i="4"/>
  <c r="G17" i="4"/>
  <c r="E17" i="4"/>
  <c r="G16" i="4"/>
  <c r="E16" i="4"/>
  <c r="G15" i="4"/>
  <c r="E15" i="4"/>
  <c r="G14" i="4"/>
  <c r="E14" i="4"/>
  <c r="E10" i="4"/>
  <c r="D10" i="4"/>
  <c r="C10" i="4"/>
  <c r="G9" i="4"/>
  <c r="F9" i="4"/>
  <c r="G8" i="4"/>
  <c r="F8" i="4"/>
  <c r="G7" i="4"/>
  <c r="F7" i="4"/>
  <c r="G6" i="4"/>
  <c r="F6" i="4"/>
  <c r="G5" i="4"/>
  <c r="F5" i="4"/>
  <c r="F10" i="4" s="1"/>
  <c r="F11" i="3"/>
  <c r="C11" i="3"/>
  <c r="H10" i="3"/>
  <c r="G10" i="3"/>
  <c r="E10" i="3"/>
  <c r="G9" i="3"/>
  <c r="H9" i="3" s="1"/>
  <c r="E9" i="3"/>
  <c r="E8" i="3"/>
  <c r="G8" i="3" s="1"/>
  <c r="H8" i="3" s="1"/>
  <c r="G7" i="3"/>
  <c r="H7" i="3" s="1"/>
  <c r="E7" i="3"/>
  <c r="E6" i="3"/>
  <c r="G6" i="3" s="1"/>
  <c r="H6" i="3" s="1"/>
  <c r="G5" i="3"/>
  <c r="H5" i="3" s="1"/>
  <c r="E5" i="3"/>
  <c r="E11" i="3" s="1"/>
  <c r="G11" i="3" s="1"/>
  <c r="F20" i="2"/>
  <c r="E20" i="2"/>
  <c r="G20" i="2" s="1"/>
  <c r="C20" i="2"/>
  <c r="I19" i="2"/>
  <c r="G19" i="2"/>
  <c r="E19" i="2"/>
  <c r="H19" i="2" s="1"/>
  <c r="I18" i="2"/>
  <c r="G18" i="2"/>
  <c r="E18" i="2"/>
  <c r="H18" i="2" s="1"/>
  <c r="I17" i="2"/>
  <c r="G17" i="2"/>
  <c r="E17" i="2"/>
  <c r="H17" i="2" s="1"/>
  <c r="I16" i="2"/>
  <c r="G16" i="2"/>
  <c r="E16" i="2"/>
  <c r="H16" i="2" s="1"/>
  <c r="I15" i="2"/>
  <c r="G15" i="2"/>
  <c r="E15" i="2"/>
  <c r="H15" i="2" s="1"/>
  <c r="G11" i="2"/>
  <c r="F11" i="2"/>
  <c r="E11" i="2"/>
  <c r="C11" i="2"/>
  <c r="I10" i="2"/>
  <c r="G10" i="2"/>
  <c r="E10" i="2"/>
  <c r="H10" i="2" s="1"/>
  <c r="I9" i="2"/>
  <c r="G9" i="2"/>
  <c r="E9" i="2"/>
  <c r="H9" i="2" s="1"/>
  <c r="I8" i="2"/>
  <c r="G8" i="2"/>
  <c r="E8" i="2"/>
  <c r="H8" i="2" s="1"/>
  <c r="I7" i="2"/>
  <c r="G7" i="2"/>
  <c r="E7" i="2"/>
  <c r="H7" i="2" s="1"/>
  <c r="I6" i="2"/>
  <c r="G6" i="2"/>
  <c r="E6" i="2"/>
  <c r="H6" i="2" s="1"/>
  <c r="G10" i="4" l="1"/>
  <c r="F12" i="6"/>
  <c r="E12" i="6"/>
</calcChain>
</file>

<file path=xl/sharedStrings.xml><?xml version="1.0" encoding="utf-8"?>
<sst xmlns="http://schemas.openxmlformats.org/spreadsheetml/2006/main" count="422" uniqueCount="302">
  <si>
    <t>Analysis of Experience – SA1 Chapter 19
Dummy Model for Study Purposes</t>
  </si>
  <si>
    <t>This workbook illustrates the key analyses a health &amp; care actuary performs under SA1 Ch.19</t>
  </si>
  <si>
    <t>WORKBOOK CONTENTS</t>
  </si>
  <si>
    <t>#</t>
  </si>
  <si>
    <t>Sheet</t>
  </si>
  <si>
    <t>Purpose</t>
  </si>
  <si>
    <t>Morbidity Analysis</t>
  </si>
  <si>
    <t>Incidence A/E by product (IP, CI, PMI, LTCI)</t>
  </si>
  <si>
    <t>Mortality Analysis</t>
  </si>
  <si>
    <t>A/E vs expected deaths; SMR calculation</t>
  </si>
  <si>
    <t>Claim Amount</t>
  </si>
  <si>
    <t>Average claim size; loss ratio; IBNR/RBNS</t>
  </si>
  <si>
    <t>Lapse &amp; Movement</t>
  </si>
  <si>
    <t>Lapse rate calc with processing-delay adjustment</t>
  </si>
  <si>
    <t>Expense Analysis</t>
  </si>
  <si>
    <t>Direct vs overhead; actual vs budget</t>
  </si>
  <si>
    <t>Portfolio Analysis</t>
  </si>
  <si>
    <t>Single-factor &amp; multi-factor risk-group tables</t>
  </si>
  <si>
    <t>Insurance Cycle</t>
  </si>
  <si>
    <t>Phase tracker and premium-rate trend chart</t>
  </si>
  <si>
    <t>Blue cells = hard-coded inputs you can change  |  Black cells = formulas  |  This model is illustrative; figures are fictional.</t>
  </si>
  <si>
    <t>Morbidity Analysis – Actual vs Expected Incidence Rates</t>
  </si>
  <si>
    <t>Blue = input  |  Black = formula  |  A/E &gt; 110% shown in amber; &gt; 130% in red</t>
  </si>
  <si>
    <t>SECTION A  –  Income Protection (IP) Insurance</t>
  </si>
  <si>
    <t>Age Band</t>
  </si>
  <si>
    <t>Exposed to Risk
(person-years)</t>
  </si>
  <si>
    <t>Expected
Incidence Rate</t>
  </si>
  <si>
    <t>Expected
Claims</t>
  </si>
  <si>
    <t>Actual
Claims</t>
  </si>
  <si>
    <t>A/E Ratio</t>
  </si>
  <si>
    <t>95% CI Lower</t>
  </si>
  <si>
    <t>95% CI Upper</t>
  </si>
  <si>
    <t>18-29</t>
  </si>
  <si>
    <t>30-39</t>
  </si>
  <si>
    <t>40-49</t>
  </si>
  <si>
    <t>50-59</t>
  </si>
  <si>
    <t>60-64</t>
  </si>
  <si>
    <t>TOTAL / WEIGHTED AVG</t>
  </si>
  <si>
    <t>SECTION B  –  Critical Illness (CI) Insurance</t>
  </si>
  <si>
    <t>KEY INTERPRETATION NOTES (from SA1 Ch.19)</t>
  </si>
  <si>
    <t>Frequency</t>
  </si>
  <si>
    <t>Analyse IP/CI quarterly; PMI monthly; LTCI half-yearly</t>
  </si>
  <si>
    <t>Sub-divisions</t>
  </si>
  <si>
    <t>Split data by: age, gender, occupation, region, deferred period, sales channel</t>
  </si>
  <si>
    <t>A/E &gt; 100%</t>
  </si>
  <si>
    <t>Actual exceeds expected → adverse experience; review pricing assumptions</t>
  </si>
  <si>
    <t>A/E 110–130%</t>
  </si>
  <si>
    <t>Amber zone – monitor closely; possible anti-selection or emerging trend</t>
  </si>
  <si>
    <t>A/E &gt; 130%</t>
  </si>
  <si>
    <t>Red zone – immediate investigation required; consider repricing</t>
  </si>
  <si>
    <t>IP Recovery</t>
  </si>
  <si>
    <t>Analyse recovery rates by: duration, age, gender, incapacity, replacement ratio</t>
  </si>
  <si>
    <t>CI True Cause</t>
  </si>
  <si>
    <t>Record cause carefully; HIV/co-morbidity complications can obscure true trigger</t>
  </si>
  <si>
    <t>Seasonality</t>
  </si>
  <si>
    <t>Allow for seasonal peaks; IP claims surge after late-winter peak (+deferred period)</t>
  </si>
  <si>
    <t>Mortality Analysis – Standardised Mortality Ratio (SMR)</t>
  </si>
  <si>
    <t>Product scope: Long-Term Care Insurance (LTCI) pre-funded portfolio  |  Investigation period: 1 Jan–31 Dec</t>
  </si>
  <si>
    <t>SECTION A  –  LTCI  (Pre-funded contracts)  |  Comparison against AM92 Ultimate</t>
  </si>
  <si>
    <t>Central Exposed
to Risk (Ec)</t>
  </si>
  <si>
    <t>Standard Table
Rate (q_x)</t>
  </si>
  <si>
    <t>Expected
Deaths (E)</t>
  </si>
  <si>
    <t>Actual
Deaths (A)</t>
  </si>
  <si>
    <t>SMR
(A/E × 100)</t>
  </si>
  <si>
    <t>95% CI
(Byar's approx)</t>
  </si>
  <si>
    <t>65-69</t>
  </si>
  <si>
    <t>70-74</t>
  </si>
  <si>
    <t>75-79</t>
  </si>
  <si>
    <t>80-84</t>
  </si>
  <si>
    <t>85+</t>
  </si>
  <si>
    <t>TOTAL</t>
  </si>
  <si>
    <t>INTERPRETATION NOTES</t>
  </si>
  <si>
    <t>SMR = 100</t>
  </si>
  <si>
    <t>Actual mortality = expected (perfectly on pricing basis)</t>
  </si>
  <si>
    <t>SMR &lt; 100</t>
  </si>
  <si>
    <t>Better (lower) mortality than expected → releases reserve for LTCI annuities</t>
  </si>
  <si>
    <t>SMR &gt; 100</t>
  </si>
  <si>
    <t>Worse mortality → adverse for IP claimants (shorter recovery); check credibility</t>
  </si>
  <si>
    <t>LTCI release</t>
  </si>
  <si>
    <t>Death = reserve release for LTCI (insurer gains); mortality is a release decrement</t>
  </si>
  <si>
    <t>IP in claim</t>
  </si>
  <si>
    <t>Death of claimant while on IP claim → benefit ceases; mortality in-claim tracked separately</t>
  </si>
  <si>
    <t>CI death</t>
  </si>
  <si>
    <t>Stand-alone CI: death releases small reserves; accelerated CI: death triggers full benefit</t>
  </si>
  <si>
    <t>Data quality</t>
  </si>
  <si>
    <t>Adjust for non-reported deaths; ensure correspondence between numerator and denominator</t>
  </si>
  <si>
    <t>Credibility</t>
  </si>
  <si>
    <t>Pool data with CMI for small portfolios; compare SMR against industry benchmark</t>
  </si>
  <si>
    <t>Claim Amount Analysis – Loss Ratio, IBNR &amp; RBNS</t>
  </si>
  <si>
    <t>SECTION A  –  PMI Loss Ratio by Policy Class</t>
  </si>
  <si>
    <t>Policy Class</t>
  </si>
  <si>
    <t>Earned Premium
(£000s)</t>
  </si>
  <si>
    <t>Paid Claims
(£000s)</t>
  </si>
  <si>
    <t>IBNR Reserve
(£000s)</t>
  </si>
  <si>
    <t>Ultimate Claims
(£000s)</t>
  </si>
  <si>
    <t>Loss Ratio
(Ult/Prem)</t>
  </si>
  <si>
    <t>Individual – Standard</t>
  </si>
  <si>
    <t>Individual – Prestige</t>
  </si>
  <si>
    <t>Group – SME</t>
  </si>
  <si>
    <t>Group – Corporate</t>
  </si>
  <si>
    <t>Health Cash Plan</t>
  </si>
  <si>
    <t>SECTION B  –  RBNS Development (CI Portfolio)  |  UK benchmark: 50% RBNS at year-end, 10% one year later</t>
  </si>
  <si>
    <t>Claim Year</t>
  </si>
  <si>
    <t>Ultimate
Claims (£000s)</t>
  </si>
  <si>
    <t>% RBNS at
Year-End</t>
  </si>
  <si>
    <t>RBNS at Year-End
(£000s)</t>
  </si>
  <si>
    <t>% RBNS after
1 Year</t>
  </si>
  <si>
    <t>Residual RBNS
(£000s)</t>
  </si>
  <si>
    <t>KEY NOTES</t>
  </si>
  <si>
    <t>Loss Ratio</t>
  </si>
  <si>
    <t>Claims ÷ Premium; ratio &gt;100% = underwriting loss (but may still be profitable with investment income)</t>
  </si>
  <si>
    <t>IBNR</t>
  </si>
  <si>
    <t>Incurred But Not Reported: policyholder unaware of cover or too ill to claim immediately</t>
  </si>
  <si>
    <t>RBNS</t>
  </si>
  <si>
    <t>Reported But Not Settled: awaiting verification; 30-day survival clause on CI causes delays</t>
  </si>
  <si>
    <t>Under-reserve</t>
  </si>
  <si>
    <t>CI portfolios historically under-reserved; expanding market + simplistic allowance = risk</t>
  </si>
  <si>
    <t>Anti-select.</t>
  </si>
  <si>
    <t>High A/E at £99k sum insured → customers circumventing the £100k medical exam trigger</t>
  </si>
  <si>
    <t>Inflation</t>
  </si>
  <si>
    <t>Monitor average claim size trend; new drugs/procedures can shift cost up or down significantly</t>
  </si>
  <si>
    <t>Lapse &amp; Movement Analysis – Processing Delay Adjustment</t>
  </si>
  <si>
    <t>SECTION A  –  Processing Delay Pattern (% of lapses processed by end of month)</t>
  </si>
  <si>
    <t>Delay Pattern (cumulative)</t>
  </si>
  <si>
    <t>Month 0</t>
  </si>
  <si>
    <t>Month 1</t>
  </si>
  <si>
    <t>Month 2</t>
  </si>
  <si>
    <t>Month 3</t>
  </si>
  <si>
    <t>Month 4</t>
  </si>
  <si>
    <t>Assumed %</t>
  </si>
  <si>
    <t>SECTION B  –  Monthly Lapse Data (analysis at start of June; months Sep–May)</t>
  </si>
  <si>
    <t>Month</t>
  </si>
  <si>
    <t>Renewals
Invited</t>
  </si>
  <si>
    <t>Lapses
Processed</t>
  </si>
  <si>
    <t>Delay Dev.
Month</t>
  </si>
  <si>
    <t>Delay %
(cumulative)</t>
  </si>
  <si>
    <t>Est. Total
Lapses</t>
  </si>
  <si>
    <t>Lapse
Rate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</si>
  <si>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</si>
  <si>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</si>
  <si>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</si>
  <si>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</si>
  <si>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</si>
  <si>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</si>
  <si>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</si>
  <si>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</si>
  <si>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</si>
  <si>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Formula</t>
  </si>
  <si>
    <t>Lapse rate = Lapses processed ÷ Renewals invited (for short-term business)</t>
  </si>
  <si>
    <t>Delay adjust</t>
  </si>
  <si>
    <t>Divide processed lapses by cumulative % to estimate ultimate lapses for recent months</t>
  </si>
  <si>
    <t>Sudden jump</t>
  </si>
  <si>
    <t>If Feb onwards shows higher lapse rate, check: (a) change in processing speed; (b) competitor rate cut</t>
  </si>
  <si>
    <t>Portfolio</t>
  </si>
  <si>
    <t>If lapse rate &gt; new business rate → portfolio contracting; investigate by distribution channel</t>
  </si>
  <si>
    <t>Long-term</t>
  </si>
  <si>
    <t>Long-term business: express lapses vs exposed-to-risk; focus on duration-from-entry</t>
  </si>
  <si>
    <t>Mid-term</t>
  </si>
  <si>
    <t>Mid-term cancellation rate = cancellations ÷ mean in-force policies (analogous to m-type rate)</t>
  </si>
  <si>
    <t>Non-death</t>
  </si>
  <si>
    <t>Attempt to verify whether a lapse is genuine or an unreported death (affects mortality exposure)</t>
  </si>
  <si>
    <t>Expense Analysis – Actual vs Budget</t>
  </si>
  <si>
    <t>SECTION A  –  Non-Commission Expense Analysis by Type (Annual)</t>
  </si>
  <si>
    <t>Expense Type</t>
  </si>
  <si>
    <t>Budget
(£000s)</t>
  </si>
  <si>
    <t>Actual
(£000s)</t>
  </si>
  <si>
    <t>Variance
(£000s)</t>
  </si>
  <si>
    <t>Variance
(%  of Budget)</t>
  </si>
  <si>
    <t>Fixed /
Variable</t>
  </si>
  <si>
    <t>Driver</t>
  </si>
  <si>
    <t>Initial – New Business</t>
  </si>
  <si>
    <t>Variable</t>
  </si>
  <si>
    <t>New policies written</t>
  </si>
  <si>
    <t>Renewal – Maintenance</t>
  </si>
  <si>
    <t>In-force policy count</t>
  </si>
  <si>
    <t>Claims Handling</t>
  </si>
  <si>
    <t>Number / size of claims</t>
  </si>
  <si>
    <t>Termination</t>
  </si>
  <si>
    <t>Lapses + deaths + cancellations</t>
  </si>
  <si>
    <t>Investment Management</t>
  </si>
  <si>
    <t>Fixed</t>
  </si>
  <si>
    <t>Assets under management</t>
  </si>
  <si>
    <t>IT &amp; Systems</t>
  </si>
  <si>
    <t>Overheads – step-change</t>
  </si>
  <si>
    <t>Actuarial &amp; Compliance</t>
  </si>
  <si>
    <t>Regulatory requirements</t>
  </si>
  <si>
    <t>General Management</t>
  </si>
  <si>
    <t>Corporate overhead</t>
  </si>
  <si>
    <t>SECTION B  –  Inflation &amp; Interpretation Notes</t>
  </si>
  <si>
    <t>Direct expenses</t>
  </si>
  <si>
    <t>Depend on volume of new business or in-force business (variable with activity)</t>
  </si>
  <si>
    <t>Overheads</t>
  </si>
  <si>
    <t>Balance; relate to general management; insensitive to volume changes</t>
  </si>
  <si>
    <t>Inflation drivers</t>
  </si>
  <si>
    <t>Salaries of medical/claims staff; IT costs for admin; medical advances (claims handling)</t>
  </si>
  <si>
    <t>PMI importance</t>
  </si>
  <si>
    <t>Short-term + low persistency → overheads must be covered by in-force volume</t>
  </si>
  <si>
    <t>Step changes</t>
  </si>
  <si>
    <t>Significant one-off costs (e.g. IT system) may need amortising over several years</t>
  </si>
  <si>
    <t>Product contrib.</t>
  </si>
  <si>
    <t>Compare each product's contribution to expenses; incorporate into pricing &amp; reserves</t>
  </si>
  <si>
    <t>Positive variance</t>
  </si>
  <si>
    <t>Actual &lt; Budget = underspend; Actual &gt; Budget = overspend (shown in brackets above)</t>
  </si>
  <si>
    <t>Portfolio Analysis – Single Factor &amp; Multi-Factor Risk Tables (PMI)</t>
  </si>
  <si>
    <t>SECTION A  –  Portfolio Split by Insurance Class</t>
  </si>
  <si>
    <t>Class</t>
  </si>
  <si>
    <t>Policies
in Force</t>
  </si>
  <si>
    <t>% of
Total</t>
  </si>
  <si>
    <t>Premium
Income (£m)</t>
  </si>
  <si>
    <t>Avg Premium
per Policy (£)</t>
  </si>
  <si>
    <t>Notes</t>
  </si>
  <si>
    <t>PMI</t>
  </si>
  <si>
    <t>Largest class; high churn</t>
  </si>
  <si>
    <t>CI</t>
  </si>
  <si>
    <t>Growing – watch RBNS carefully</t>
  </si>
  <si>
    <t>IP</t>
  </si>
  <si>
    <t>Small; high reserve requirement</t>
  </si>
  <si>
    <t>LTCI</t>
  </si>
  <si>
    <t>Immature; limited data</t>
  </si>
  <si>
    <t>SECTION B  –  Single-Factor Table: PMI Distribution by Hospital Band (% of premium income)</t>
  </si>
  <si>
    <t>Hospital Band</t>
  </si>
  <si>
    <t>HB 1</t>
  </si>
  <si>
    <t>HB 2</t>
  </si>
  <si>
    <t>HB 3</t>
  </si>
  <si>
    <t>HB 4</t>
  </si>
  <si>
    <t>HB 5</t>
  </si>
  <si>
    <t>HB 6</t>
  </si>
  <si>
    <t>Total</t>
  </si>
  <si>
    <t>% Premium</t>
  </si>
  <si>
    <t>SECTION C  –  Multi-Factor Table: PMI % Premium by Hospital Band × Age × Gender</t>
  </si>
  <si>
    <t>Excess</t>
  </si>
  <si>
    <t>HB Band</t>
  </si>
  <si>
    <t>Gender</t>
  </si>
  <si>
    <t>£50</t>
  </si>
  <si>
    <t>HB 1-2</t>
  </si>
  <si>
    <t>Male</t>
  </si>
  <si>
    <t>17-24</t>
  </si>
  <si>
    <t>25-49</t>
  </si>
  <si>
    <t>50+</t>
  </si>
  <si>
    <t>Female</t>
  </si>
  <si>
    <t>HB 3-4</t>
  </si>
  <si>
    <t>£100</t>
  </si>
  <si>
    <t>Insurance Cycle &amp; Premium Rate Trend</t>
  </si>
  <si>
    <t>SECTION A  –  Insurance Cycle Phase Summary</t>
  </si>
  <si>
    <t>Phase</t>
  </si>
  <si>
    <t>Label</t>
  </si>
  <si>
    <t>Premium
Level</t>
  </si>
  <si>
    <t>Competition</t>
  </si>
  <si>
    <t>Profitability</t>
  </si>
  <si>
    <t>Key Trigger</t>
  </si>
  <si>
    <t>Typical Product
Impact</t>
  </si>
  <si>
    <t>High Profits</t>
  </si>
  <si>
    <t>High</t>
  </si>
  <si>
    <t>Low</t>
  </si>
  <si>
    <t>New entrants attracted</t>
  </si>
  <si>
    <t>Group IP / PMI most affected</t>
  </si>
  <si>
    <t>Greater Competition</t>
  </si>
  <si>
    <t>Falling</t>
  </si>
  <si>
    <t>Rising</t>
  </si>
  <si>
    <t>Moderate</t>
  </si>
  <si>
    <t>Commission &amp; mktg increase</t>
  </si>
  <si>
    <t>Soft rates; anti-selection risk</t>
  </si>
  <si>
    <t>Losses</t>
  </si>
  <si>
    <t>Peak</t>
  </si>
  <si>
    <t>Negative</t>
  </si>
  <si>
    <t>Some insurers exit market</t>
  </si>
  <si>
    <t>Claims &gt; Premium; reserving stress</t>
  </si>
  <si>
    <t>Reduced Competition</t>
  </si>
  <si>
    <t>Improving</t>
  </si>
  <si>
    <t>Losses prompt rate hardening</t>
  </si>
  <si>
    <t>New business shrinks; margins recover</t>
  </si>
  <si>
    <t>SECTION B  –  Illustrative Premium Rate Index (Base = Year 1)</t>
  </si>
  <si>
    <t>Metric</t>
  </si>
  <si>
    <t>Yr 1</t>
  </si>
  <si>
    <t>Yr 2</t>
  </si>
  <si>
    <t>Yr 3</t>
  </si>
  <si>
    <t>Yr 4</t>
  </si>
  <si>
    <t>Yr 5</t>
  </si>
  <si>
    <t>Yr 6</t>
  </si>
  <si>
    <t>Yr 7</t>
  </si>
  <si>
    <t>Yr 8</t>
  </si>
  <si>
    <t>Yr 9</t>
  </si>
  <si>
    <t>Yr 10</t>
  </si>
  <si>
    <t>Yr 11</t>
  </si>
  <si>
    <t>Yr 12</t>
  </si>
  <si>
    <t>Rate Index</t>
  </si>
  <si>
    <t>Cycle Phase</t>
  </si>
  <si>
    <t>KEY NOTES – Insurance Cycle</t>
  </si>
  <si>
    <t>Relevance</t>
  </si>
  <si>
    <t>Mainly affects short-term group business (PMI, group IP); less so individual CI/IP (longer-term rates)</t>
  </si>
  <si>
    <t>Phase 1→2</t>
  </si>
  <si>
    <t>High profits attract new entrants; premiums start to soften; commissions rise</t>
  </si>
  <si>
    <t>Phase 2→3</t>
  </si>
  <si>
    <t>Soft premiums → under-pricing → losses emerge; investment income may temporarily mask</t>
  </si>
  <si>
    <t>Phase 3→4</t>
  </si>
  <si>
    <t>Insurers exit; survivors raise rates; smaller books but improving margins</t>
  </si>
  <si>
    <t>Phase 4→1</t>
  </si>
  <si>
    <t>Rate hardening restores profitability; new entrants re-emerge; cycle repeats</t>
  </si>
  <si>
    <t>Different classes</t>
  </si>
  <si>
    <t>Different product lines are at different phase points simultaneously</t>
  </si>
  <si>
    <t>Actuarial use</t>
  </si>
  <si>
    <t>Incorporate cycle position into pricing assumptions; adjust reserves for adverse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</si>
</sst>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%"/>
    <numFmt numFmtId="165" formatCode="#,##0.0"/>
    <numFmt numFmtId="166" formatCode="0.0%"/>
    <numFmt numFmtId="167" formatCode="0.0000"/>
    <numFmt numFmtId="168" formatCode="0.0"/>
    <numFmt numFmtId="169" formatCode="#,##0;\(#,##0\);\-"/>
    <numFmt numFmtId="170" formatCode="0.0%;\(0.0%\);\-"/>
    <numFmt numFmtId="171" formatCode="#,##0.000"/>
  </numFmts>
  <fonts count="13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1"/>
      <color rgb="FF1F3864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i/>
      <sz val="9"/>
      <color rgb="FF7F7F7F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i/>
      <sz val="1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6E4F0"/>
        <bgColor rgb="FFD9D9D9"/>
      </patternFill>
    </fill>
    <fill>
      <patternFill patternType="solid">
        <fgColor rgb="FFD9D9D9"/>
        <bgColor rgb="FFD6E4F0"/>
      </patternFill>
    </fill>
    <fill>
      <patternFill patternType="solid">
        <fgColor rgb="FF70AD47"/>
        <bgColor rgb="FF99CC00"/>
      </patternFill>
    </fill>
    <fill>
      <patternFill patternType="solid">
        <fgColor rgb="FFFFC000"/>
        <bgColor rgb="FFFF9900"/>
      </patternFill>
    </fill>
    <fill>
      <patternFill patternType="solid">
        <fgColor rgb="FFFF6666"/>
        <bgColor rgb="FFFF6600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/>
      <bottom style="thin">
        <color rgb="FFAAAAAA"/>
      </bottom>
      <diagonal/>
    </border>
    <border>
      <left style="thin">
        <color rgb="FFAAAAAA"/>
      </left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9" fillId="6" borderId="1" xfId="0" applyFont="1" applyFill="1" applyBorder="1"/>
    <xf numFmtId="3" fontId="10" fillId="5" borderId="1" xfId="0" applyNumberFormat="1" applyFont="1" applyFill="1" applyBorder="1" applyAlignment="1">
      <alignment horizontal="center" vertical="center"/>
    </xf>
    <xf numFmtId="164" fontId="10" fillId="5" borderId="1" xfId="0" applyNumberFormat="1" applyFont="1" applyFill="1" applyBorder="1" applyAlignment="1">
      <alignment horizontal="center" vertical="center"/>
    </xf>
    <xf numFmtId="165" fontId="11" fillId="5" borderId="1" xfId="0" applyNumberFormat="1" applyFont="1" applyFill="1" applyBorder="1" applyAlignment="1">
      <alignment horizontal="center" vertical="center"/>
    </xf>
    <xf numFmtId="166" fontId="11" fillId="5" borderId="1" xfId="0" applyNumberFormat="1" applyFont="1" applyFill="1" applyBorder="1" applyAlignment="1">
      <alignment horizontal="center" vertical="center"/>
    </xf>
    <xf numFmtId="3" fontId="10" fillId="4" borderId="1" xfId="0" applyNumberFormat="1" applyFont="1" applyFill="1" applyBorder="1" applyAlignment="1">
      <alignment horizontal="center" vertical="center"/>
    </xf>
    <xf numFmtId="164" fontId="10" fillId="4" borderId="1" xfId="0" applyNumberFormat="1" applyFont="1" applyFill="1" applyBorder="1" applyAlignment="1">
      <alignment horizontal="center" vertical="center"/>
    </xf>
    <xf numFmtId="165" fontId="11" fillId="4" borderId="1" xfId="0" applyNumberFormat="1" applyFont="1" applyFill="1" applyBorder="1" applyAlignment="1">
      <alignment horizontal="center" vertical="center"/>
    </xf>
    <xf numFmtId="166" fontId="11" fillId="4" borderId="1" xfId="0" applyNumberFormat="1" applyFont="1" applyFill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 vertical="center"/>
    </xf>
    <xf numFmtId="0" fontId="0" fillId="7" borderId="1" xfId="0" applyFill="1" applyBorder="1"/>
    <xf numFmtId="165" fontId="11" fillId="0" borderId="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7" fontId="10" fillId="5" borderId="1" xfId="0" applyNumberFormat="1" applyFont="1" applyFill="1" applyBorder="1" applyAlignment="1">
      <alignment horizontal="center" vertical="center"/>
    </xf>
    <xf numFmtId="168" fontId="11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67" fontId="10" fillId="4" borderId="1" xfId="0" applyNumberFormat="1" applyFont="1" applyFill="1" applyBorder="1" applyAlignment="1">
      <alignment horizontal="center" vertical="center"/>
    </xf>
    <xf numFmtId="168" fontId="11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horizontal="center" vertical="center"/>
    </xf>
    <xf numFmtId="3" fontId="11" fillId="5" borderId="1" xfId="0" applyNumberFormat="1" applyFont="1" applyFill="1" applyBorder="1" applyAlignment="1">
      <alignment horizontal="center" vertical="center"/>
    </xf>
    <xf numFmtId="3" fontId="11" fillId="4" borderId="1" xfId="0" applyNumberFormat="1" applyFont="1" applyFill="1" applyBorder="1" applyAlignment="1">
      <alignment horizontal="center" vertical="center"/>
    </xf>
    <xf numFmtId="9" fontId="10" fillId="5" borderId="1" xfId="0" applyNumberFormat="1" applyFont="1" applyFill="1" applyBorder="1" applyAlignment="1">
      <alignment horizontal="center" vertical="center"/>
    </xf>
    <xf numFmtId="9" fontId="10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9" fontId="10" fillId="0" borderId="1" xfId="0" applyNumberFormat="1" applyFont="1" applyBorder="1" applyAlignment="1">
      <alignment horizontal="center" vertical="center"/>
    </xf>
    <xf numFmtId="1" fontId="10" fillId="5" borderId="1" xfId="0" applyNumberFormat="1" applyFont="1" applyFill="1" applyBorder="1" applyAlignment="1">
      <alignment horizontal="center" vertical="center"/>
    </xf>
    <xf numFmtId="9" fontId="11" fillId="5" borderId="1" xfId="0" applyNumberFormat="1" applyFont="1" applyFill="1" applyBorder="1" applyAlignment="1">
      <alignment horizontal="center" vertical="center"/>
    </xf>
    <xf numFmtId="1" fontId="10" fillId="4" borderId="1" xfId="0" applyNumberFormat="1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/>
    </xf>
    <xf numFmtId="169" fontId="11" fillId="5" borderId="1" xfId="0" applyNumberFormat="1" applyFont="1" applyFill="1" applyBorder="1" applyAlignment="1">
      <alignment horizontal="center" vertical="center"/>
    </xf>
    <xf numFmtId="170" fontId="11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left" vertical="center" indent="1"/>
    </xf>
    <xf numFmtId="169" fontId="11" fillId="4" borderId="1" xfId="0" applyNumberFormat="1" applyFont="1" applyFill="1" applyBorder="1" applyAlignment="1">
      <alignment horizontal="center" vertical="center"/>
    </xf>
    <xf numFmtId="170" fontId="11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 indent="1"/>
    </xf>
    <xf numFmtId="169" fontId="11" fillId="0" borderId="1" xfId="0" applyNumberFormat="1" applyFont="1" applyBorder="1" applyAlignment="1">
      <alignment horizontal="center" vertical="center"/>
    </xf>
    <xf numFmtId="170" fontId="11" fillId="0" borderId="1" xfId="0" applyNumberFormat="1" applyFont="1" applyBorder="1" applyAlignment="1">
      <alignment horizontal="center" vertical="center"/>
    </xf>
    <xf numFmtId="171" fontId="10" fillId="5" borderId="1" xfId="0" applyNumberFormat="1" applyFont="1" applyFill="1" applyBorder="1" applyAlignment="1">
      <alignment horizontal="center" vertical="center"/>
    </xf>
    <xf numFmtId="171" fontId="10" fillId="4" borderId="1" xfId="0" applyNumberFormat="1" applyFont="1" applyFill="1" applyBorder="1" applyAlignment="1">
      <alignment horizontal="center" vertical="center"/>
    </xf>
    <xf numFmtId="171" fontId="11" fillId="0" borderId="1" xfId="0" applyNumberFormat="1" applyFont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3" fontId="11" fillId="5" borderId="1" xfId="0" applyNumberFormat="1" applyFont="1" applyFill="1" applyBorder="1" applyAlignment="1">
      <alignment horizontal="left" vertical="center"/>
    </xf>
    <xf numFmtId="3" fontId="11" fillId="4" borderId="1" xfId="0" applyNumberFormat="1" applyFont="1" applyFill="1" applyBorder="1" applyAlignment="1">
      <alignment horizontal="left" vertical="center"/>
    </xf>
    <xf numFmtId="3" fontId="11" fillId="0" borderId="1" xfId="0" applyNumberFormat="1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4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7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3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0" fontId="8" fillId="3" borderId="0" xfId="0" applyFont="1" applyFill="1" applyAlignment="1">
      <alignment horizontal="left" vertical="center"/>
    </xf>
    <xf numFmtId="0" fontId="8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D6E4F0"/>
      <rgbColor rgb="FF660066"/>
      <rgbColor rgb="FFFF6666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AAAAAA"/>
      <rgbColor rgb="FF1F3864"/>
      <rgbColor rgb="FF70AD47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6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6" customWidth="1"/>
    <col min="3" max="3" width="2" customWidth="1"/>
    <col min="4" max="4" width="28" customWidth="1"/>
    <col min="5" max="5" width="2" customWidth="1"/>
    <col min="6" max="6" width="60" customWidth="1"/>
    <col min="7" max="10" width="2" customWidth="1"/>
  </cols>
  <sheetData>
    <row r="1" spans="2:10" ht="7.5" customHeight="1" x14ac:dyDescent="0.3"/>
    <row r="2" spans="2:10" ht="60" customHeight="1" x14ac:dyDescent="0.3">
      <c r="B2" s="69" t="s">
        <v>0</v>
      </c>
      <c r="C2" s="69"/>
      <c r="D2" s="69"/>
      <c r="E2" s="69"/>
      <c r="F2" s="69"/>
      <c r="G2" s="69"/>
      <c r="H2" s="69"/>
      <c r="I2" s="69"/>
      <c r="J2" s="69"/>
    </row>
    <row r="3" spans="2:10" ht="7.5" customHeight="1" x14ac:dyDescent="0.3"/>
    <row r="4" spans="2:10" ht="24" customHeight="1" x14ac:dyDescent="0.3">
      <c r="B4" s="70" t="s">
        <v>1</v>
      </c>
      <c r="C4" s="70"/>
      <c r="D4" s="70"/>
      <c r="E4" s="70"/>
      <c r="F4" s="70"/>
      <c r="G4" s="70"/>
      <c r="H4" s="70"/>
      <c r="I4" s="70"/>
      <c r="J4" s="70"/>
    </row>
    <row r="5" spans="2:10" ht="7.5" customHeight="1" x14ac:dyDescent="0.3"/>
    <row r="6" spans="2:10" ht="21.75" customHeight="1" x14ac:dyDescent="0.3">
      <c r="B6" s="71" t="s">
        <v>2</v>
      </c>
      <c r="C6" s="71"/>
      <c r="D6" s="71"/>
      <c r="E6" s="71"/>
      <c r="F6" s="71"/>
      <c r="G6" s="71"/>
      <c r="H6" s="71"/>
      <c r="I6" s="71"/>
      <c r="J6" s="71"/>
    </row>
    <row r="7" spans="2:10" ht="18" customHeight="1" x14ac:dyDescent="0.3">
      <c r="B7" s="1" t="s">
        <v>3</v>
      </c>
      <c r="D7" s="1" t="s">
        <v>4</v>
      </c>
      <c r="F7" s="1" t="s">
        <v>5</v>
      </c>
    </row>
    <row r="8" spans="2:10" ht="18" customHeight="1" x14ac:dyDescent="0.3">
      <c r="B8" s="2">
        <v>1</v>
      </c>
      <c r="C8" s="2"/>
      <c r="D8" s="3" t="s">
        <v>6</v>
      </c>
      <c r="E8" s="2"/>
      <c r="F8" s="3" t="s">
        <v>7</v>
      </c>
      <c r="G8" s="2"/>
      <c r="H8" s="2"/>
      <c r="I8" s="2"/>
      <c r="J8" s="2"/>
    </row>
    <row r="9" spans="2:10" ht="18" customHeight="1" x14ac:dyDescent="0.3">
      <c r="B9" s="4">
        <v>2</v>
      </c>
      <c r="C9" s="4"/>
      <c r="D9" s="5" t="s">
        <v>8</v>
      </c>
      <c r="E9" s="4"/>
      <c r="F9" s="5" t="s">
        <v>9</v>
      </c>
      <c r="G9" s="4"/>
      <c r="H9" s="4"/>
      <c r="I9" s="4"/>
      <c r="J9" s="4"/>
    </row>
    <row r="10" spans="2:10" ht="18" customHeight="1" x14ac:dyDescent="0.3">
      <c r="B10" s="2">
        <v>3</v>
      </c>
      <c r="C10" s="2"/>
      <c r="D10" s="3" t="s">
        <v>10</v>
      </c>
      <c r="E10" s="2"/>
      <c r="F10" s="3" t="s">
        <v>11</v>
      </c>
      <c r="G10" s="2"/>
      <c r="H10" s="2"/>
      <c r="I10" s="2"/>
      <c r="J10" s="2"/>
    </row>
    <row r="11" spans="2:10" ht="18" customHeight="1" x14ac:dyDescent="0.3">
      <c r="B11" s="4">
        <v>4</v>
      </c>
      <c r="C11" s="4"/>
      <c r="D11" s="5" t="s">
        <v>12</v>
      </c>
      <c r="E11" s="4"/>
      <c r="F11" s="5" t="s">
        <v>13</v>
      </c>
      <c r="G11" s="4"/>
      <c r="H11" s="4"/>
      <c r="I11" s="4"/>
      <c r="J11" s="4"/>
    </row>
    <row r="12" spans="2:10" ht="18" customHeight="1" x14ac:dyDescent="0.3">
      <c r="B12" s="2">
        <v>5</v>
      </c>
      <c r="C12" s="2"/>
      <c r="D12" s="3" t="s">
        <v>14</v>
      </c>
      <c r="E12" s="2"/>
      <c r="F12" s="3" t="s">
        <v>15</v>
      </c>
      <c r="G12" s="2"/>
      <c r="H12" s="2"/>
      <c r="I12" s="2"/>
      <c r="J12" s="2"/>
    </row>
    <row r="13" spans="2:10" ht="18" customHeight="1" x14ac:dyDescent="0.3">
      <c r="B13" s="4">
        <v>6</v>
      </c>
      <c r="C13" s="4"/>
      <c r="D13" s="5" t="s">
        <v>16</v>
      </c>
      <c r="E13" s="4"/>
      <c r="F13" s="5" t="s">
        <v>17</v>
      </c>
      <c r="G13" s="4"/>
      <c r="H13" s="4"/>
      <c r="I13" s="4"/>
      <c r="J13" s="4"/>
    </row>
    <row r="14" spans="2:10" ht="18" customHeight="1" x14ac:dyDescent="0.3">
      <c r="B14" s="2">
        <v>7</v>
      </c>
      <c r="C14" s="2"/>
      <c r="D14" s="3" t="s">
        <v>18</v>
      </c>
      <c r="E14" s="2"/>
      <c r="F14" s="3" t="s">
        <v>19</v>
      </c>
      <c r="G14" s="2"/>
      <c r="H14" s="2"/>
      <c r="I14" s="2"/>
      <c r="J14" s="2"/>
    </row>
    <row r="16" spans="2:10" x14ac:dyDescent="0.3">
      <c r="B16" s="72" t="s">
        <v>20</v>
      </c>
      <c r="C16" s="72"/>
      <c r="D16" s="72"/>
      <c r="E16" s="72"/>
      <c r="F16" s="72"/>
      <c r="G16" s="72"/>
      <c r="H16" s="72"/>
      <c r="I16" s="72"/>
      <c r="J16" s="72"/>
    </row>
  </sheetData>
  <mergeCells count="4">
    <mergeCell ref="B2:J2"/>
    <mergeCell ref="B4:J4"/>
    <mergeCell ref="B6:J6"/>
    <mergeCell ref="B16:J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30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22" customWidth="1"/>
    <col min="3" max="8" width="14" customWidth="1"/>
    <col min="9" max="9" width="16" customWidth="1"/>
    <col min="10" max="10" width="2" customWidth="1"/>
  </cols>
  <sheetData>
    <row r="1" spans="2:9" ht="31.5" customHeight="1" x14ac:dyDescent="0.3">
      <c r="B1" s="75" t="s">
        <v>21</v>
      </c>
      <c r="C1" s="75"/>
      <c r="D1" s="75"/>
      <c r="E1" s="75"/>
      <c r="F1" s="75"/>
      <c r="G1" s="75"/>
      <c r="H1" s="75"/>
      <c r="I1" s="75"/>
    </row>
    <row r="2" spans="2:9" ht="15.75" customHeight="1" x14ac:dyDescent="0.3">
      <c r="B2" s="76" t="s">
        <v>22</v>
      </c>
      <c r="C2" s="76"/>
      <c r="D2" s="76"/>
      <c r="E2" s="76"/>
      <c r="F2" s="76"/>
      <c r="G2" s="76"/>
      <c r="H2" s="76"/>
      <c r="I2" s="76"/>
    </row>
    <row r="4" spans="2:9" ht="21.75" customHeight="1" x14ac:dyDescent="0.3">
      <c r="B4" s="77" t="s">
        <v>23</v>
      </c>
      <c r="C4" s="77"/>
      <c r="D4" s="77"/>
      <c r="E4" s="77"/>
      <c r="F4" s="77"/>
      <c r="G4" s="77"/>
      <c r="H4" s="77"/>
      <c r="I4" s="77"/>
    </row>
    <row r="5" spans="2:9" ht="36" customHeight="1" x14ac:dyDescent="0.3">
      <c r="B5" s="6" t="s">
        <v>24</v>
      </c>
      <c r="C5" s="6" t="s">
        <v>25</v>
      </c>
      <c r="D5" s="6" t="s">
        <v>26</v>
      </c>
      <c r="E5" s="6" t="s">
        <v>27</v>
      </c>
      <c r="F5" s="6" t="s">
        <v>28</v>
      </c>
      <c r="G5" s="6" t="s">
        <v>29</v>
      </c>
      <c r="H5" s="6" t="s">
        <v>30</v>
      </c>
      <c r="I5" s="6" t="s">
        <v>31</v>
      </c>
    </row>
    <row r="6" spans="2:9" ht="18" customHeight="1" x14ac:dyDescent="0.3">
      <c r="B6" s="7" t="s">
        <v>32</v>
      </c>
      <c r="C6" s="8">
        <v>4500</v>
      </c>
      <c r="D6" s="9">
        <v>8.0000000000000002E-3</v>
      </c>
      <c r="E6" s="10">
        <f>C6*D6</f>
        <v>36</v>
      </c>
      <c r="F6" s="8">
        <v>38</v>
      </c>
      <c r="G6" s="11">
        <f t="shared" ref="G6:G11" si="0">IF(E6=0,"-",F6/E6)</f>
        <v>1.0555555555555556</v>
      </c>
      <c r="H6" s="11">
        <f>IF(E6=0,"-",(F6-1.96*SQRT(F6))/E6)</f>
        <v>0.71993745983835578</v>
      </c>
      <c r="I6" s="11">
        <f>IF(E6=0,"-",(F6+1.96*SQRT(F6))/E6)</f>
        <v>1.3911736512727555</v>
      </c>
    </row>
    <row r="7" spans="2:9" ht="18" customHeight="1" x14ac:dyDescent="0.3">
      <c r="B7" s="7" t="s">
        <v>33</v>
      </c>
      <c r="C7" s="12">
        <v>6200</v>
      </c>
      <c r="D7" s="13">
        <v>1.4999999999999999E-2</v>
      </c>
      <c r="E7" s="14">
        <f>C7*D7</f>
        <v>93</v>
      </c>
      <c r="F7" s="12">
        <v>102</v>
      </c>
      <c r="G7" s="15">
        <f t="shared" si="0"/>
        <v>1.096774193548387</v>
      </c>
      <c r="H7" s="15">
        <f>IF(E7=0,"-",(F7-1.96*SQRT(F7))/E7)</f>
        <v>0.88392441205172401</v>
      </c>
      <c r="I7" s="15">
        <f>IF(E7=0,"-",(F7+1.96*SQRT(F7))/E7)</f>
        <v>1.3096239750450502</v>
      </c>
    </row>
    <row r="8" spans="2:9" ht="18" customHeight="1" x14ac:dyDescent="0.3">
      <c r="B8" s="7" t="s">
        <v>34</v>
      </c>
      <c r="C8" s="8">
        <v>5800</v>
      </c>
      <c r="D8" s="9">
        <v>2.8000000000000001E-2</v>
      </c>
      <c r="E8" s="10">
        <f>C8*D8</f>
        <v>162.4</v>
      </c>
      <c r="F8" s="8">
        <v>178</v>
      </c>
      <c r="G8" s="11">
        <f t="shared" si="0"/>
        <v>1.0960591133004927</v>
      </c>
      <c r="H8" s="11">
        <f>IF(E8=0,"-",(F8-1.96*SQRT(F8))/E8)</f>
        <v>0.93503902976793341</v>
      </c>
      <c r="I8" s="11">
        <f>IF(E8=0,"-",(F8+1.96*SQRT(F8))/E8)</f>
        <v>1.2570791968330517</v>
      </c>
    </row>
    <row r="9" spans="2:9" ht="18" customHeight="1" x14ac:dyDescent="0.3">
      <c r="B9" s="7" t="s">
        <v>35</v>
      </c>
      <c r="C9" s="12">
        <v>4100</v>
      </c>
      <c r="D9" s="13">
        <v>4.8000000000000001E-2</v>
      </c>
      <c r="E9" s="14">
        <f>C9*D9</f>
        <v>196.8</v>
      </c>
      <c r="F9" s="12">
        <v>218</v>
      </c>
      <c r="G9" s="15">
        <f t="shared" si="0"/>
        <v>1.1077235772357723</v>
      </c>
      <c r="H9" s="15">
        <f>IF(E9=0,"-",(F9-1.96*SQRT(F9))/E9)</f>
        <v>0.96067554269279731</v>
      </c>
      <c r="I9" s="15">
        <f>IF(E9=0,"-",(F9+1.96*SQRT(F9))/E9)</f>
        <v>1.2547716117787473</v>
      </c>
    </row>
    <row r="10" spans="2:9" ht="18" customHeight="1" x14ac:dyDescent="0.3">
      <c r="B10" s="7" t="s">
        <v>36</v>
      </c>
      <c r="C10" s="8">
        <v>1800</v>
      </c>
      <c r="D10" s="9">
        <v>7.1999999999999995E-2</v>
      </c>
      <c r="E10" s="10">
        <f>C10*D10</f>
        <v>129.6</v>
      </c>
      <c r="F10" s="8">
        <v>144</v>
      </c>
      <c r="G10" s="11">
        <f t="shared" si="0"/>
        <v>1.1111111111111112</v>
      </c>
      <c r="H10" s="11">
        <f>IF(E10=0,"-",(F10-1.96*SQRT(F10))/E10)</f>
        <v>0.92962962962962969</v>
      </c>
      <c r="I10" s="11">
        <f>IF(E10=0,"-",(F10+1.96*SQRT(F10))/E10)</f>
        <v>1.2925925925925927</v>
      </c>
    </row>
    <row r="11" spans="2:9" ht="19.5" customHeight="1" x14ac:dyDescent="0.3">
      <c r="B11" s="7" t="s">
        <v>37</v>
      </c>
      <c r="C11" s="16">
        <f>SUM(C6:C10)</f>
        <v>22400</v>
      </c>
      <c r="D11" s="17"/>
      <c r="E11" s="18">
        <f>SUM(E6:E10)</f>
        <v>617.79999999999995</v>
      </c>
      <c r="F11" s="16">
        <f>SUM(F6:F10)</f>
        <v>680</v>
      </c>
      <c r="G11" s="19">
        <f t="shared" si="0"/>
        <v>1.1006798316607318</v>
      </c>
      <c r="H11" s="17"/>
      <c r="I11" s="17"/>
    </row>
    <row r="12" spans="2:9" ht="13.5" customHeight="1" x14ac:dyDescent="0.3"/>
    <row r="13" spans="2:9" ht="21.75" customHeight="1" x14ac:dyDescent="0.3">
      <c r="B13" s="77" t="s">
        <v>38</v>
      </c>
      <c r="C13" s="77"/>
      <c r="D13" s="77"/>
      <c r="E13" s="77"/>
      <c r="F13" s="77"/>
      <c r="G13" s="77"/>
      <c r="H13" s="77"/>
      <c r="I13" s="77"/>
    </row>
    <row r="14" spans="2:9" ht="36" customHeight="1" x14ac:dyDescent="0.3">
      <c r="B14" s="6" t="s">
        <v>24</v>
      </c>
      <c r="C14" s="6" t="s">
        <v>25</v>
      </c>
      <c r="D14" s="6" t="s">
        <v>26</v>
      </c>
      <c r="E14" s="6" t="s">
        <v>27</v>
      </c>
      <c r="F14" s="6" t="s">
        <v>28</v>
      </c>
      <c r="G14" s="6" t="s">
        <v>29</v>
      </c>
      <c r="H14" s="6" t="s">
        <v>30</v>
      </c>
      <c r="I14" s="6" t="s">
        <v>31</v>
      </c>
    </row>
    <row r="15" spans="2:9" ht="18" customHeight="1" x14ac:dyDescent="0.3">
      <c r="B15" s="7" t="s">
        <v>32</v>
      </c>
      <c r="C15" s="8">
        <v>3200</v>
      </c>
      <c r="D15" s="9">
        <v>1.1999999999999999E-3</v>
      </c>
      <c r="E15" s="10">
        <f>C15*D15</f>
        <v>3.84</v>
      </c>
      <c r="F15" s="8">
        <v>4</v>
      </c>
      <c r="G15" s="11">
        <f t="shared" ref="G15:G20" si="1">IF(E15=0,"-",F15/E15)</f>
        <v>1.0416666666666667</v>
      </c>
      <c r="H15" s="11">
        <f>IF(E15=0,"-",(F15-1.96*SQRT(F15))/E15)</f>
        <v>2.0833333333333353E-2</v>
      </c>
      <c r="I15" s="11">
        <f>IF(E15=0,"-",(F15+1.96*SQRT(F15))/E15)</f>
        <v>2.0625</v>
      </c>
    </row>
    <row r="16" spans="2:9" ht="18" customHeight="1" x14ac:dyDescent="0.3">
      <c r="B16" s="7" t="s">
        <v>33</v>
      </c>
      <c r="C16" s="12">
        <v>5100</v>
      </c>
      <c r="D16" s="13">
        <v>3.5000000000000001E-3</v>
      </c>
      <c r="E16" s="14">
        <f>C16*D16</f>
        <v>17.850000000000001</v>
      </c>
      <c r="F16" s="12">
        <v>18</v>
      </c>
      <c r="G16" s="15">
        <f t="shared" si="1"/>
        <v>1.0084033613445378</v>
      </c>
      <c r="H16" s="15">
        <f>IF(E16=0,"-",(F16-1.96*SQRT(F16))/E16)</f>
        <v>0.54254477609222418</v>
      </c>
      <c r="I16" s="15">
        <f>IF(E16=0,"-",(F16+1.96*SQRT(F16))/E16)</f>
        <v>1.4742619465968512</v>
      </c>
    </row>
    <row r="17" spans="2:9" ht="18" customHeight="1" x14ac:dyDescent="0.3">
      <c r="B17" s="7" t="s">
        <v>34</v>
      </c>
      <c r="C17" s="8">
        <v>4900</v>
      </c>
      <c r="D17" s="9">
        <v>8.9999999999999993E-3</v>
      </c>
      <c r="E17" s="10">
        <f>C17*D17</f>
        <v>44.099999999999994</v>
      </c>
      <c r="F17" s="8">
        <v>46</v>
      </c>
      <c r="G17" s="11">
        <f t="shared" si="1"/>
        <v>1.0430839002267576</v>
      </c>
      <c r="H17" s="11">
        <f>IF(E17=0,"-",(F17-1.96*SQRT(F17))/E17)</f>
        <v>0.74164701208785677</v>
      </c>
      <c r="I17" s="11">
        <f>IF(E17=0,"-",(F17+1.96*SQRT(F17))/E17)</f>
        <v>1.3445207883656582</v>
      </c>
    </row>
    <row r="18" spans="2:9" ht="18" customHeight="1" x14ac:dyDescent="0.3">
      <c r="B18" s="7" t="s">
        <v>35</v>
      </c>
      <c r="C18" s="12">
        <v>3600</v>
      </c>
      <c r="D18" s="13">
        <v>1.95E-2</v>
      </c>
      <c r="E18" s="14">
        <f>C18*D18</f>
        <v>70.2</v>
      </c>
      <c r="F18" s="12">
        <v>75</v>
      </c>
      <c r="G18" s="15">
        <f t="shared" si="1"/>
        <v>1.0683760683760684</v>
      </c>
      <c r="H18" s="15">
        <f>IF(E18=0,"-",(F18-1.96*SQRT(F18))/E18)</f>
        <v>0.82657980179237889</v>
      </c>
      <c r="I18" s="15">
        <f>IF(E18=0,"-",(F18+1.96*SQRT(F18))/E18)</f>
        <v>1.3101723349597576</v>
      </c>
    </row>
    <row r="19" spans="2:9" ht="18" customHeight="1" x14ac:dyDescent="0.3">
      <c r="B19" s="7" t="s">
        <v>36</v>
      </c>
      <c r="C19" s="8">
        <v>1200</v>
      </c>
      <c r="D19" s="9">
        <v>3.4000000000000002E-2</v>
      </c>
      <c r="E19" s="10">
        <f>C19*D19</f>
        <v>40.800000000000004</v>
      </c>
      <c r="F19" s="8">
        <v>44</v>
      </c>
      <c r="G19" s="11">
        <f t="shared" si="1"/>
        <v>1.0784313725490196</v>
      </c>
      <c r="H19" s="11">
        <f>IF(E19=0,"-",(F19-1.96*SQRT(F19))/E19)</f>
        <v>0.75977526524036354</v>
      </c>
      <c r="I19" s="11">
        <f>IF(E19=0,"-",(F19+1.96*SQRT(F19))/E19)</f>
        <v>1.3970874798576756</v>
      </c>
    </row>
    <row r="20" spans="2:9" ht="19.5" customHeight="1" x14ac:dyDescent="0.3">
      <c r="B20" s="7" t="s">
        <v>37</v>
      </c>
      <c r="C20" s="16">
        <f>SUM(C15:C19)</f>
        <v>18000</v>
      </c>
      <c r="D20" s="17"/>
      <c r="E20" s="18">
        <f>SUM(E15:E19)</f>
        <v>176.79000000000002</v>
      </c>
      <c r="F20" s="16">
        <f>SUM(F15:F19)</f>
        <v>187</v>
      </c>
      <c r="G20" s="19">
        <f t="shared" si="1"/>
        <v>1.0577521353017703</v>
      </c>
      <c r="H20" s="17"/>
      <c r="I20" s="17"/>
    </row>
    <row r="22" spans="2:9" ht="18" customHeight="1" x14ac:dyDescent="0.3">
      <c r="B22" s="78" t="s">
        <v>39</v>
      </c>
      <c r="C22" s="78"/>
      <c r="D22" s="78"/>
      <c r="E22" s="78"/>
      <c r="F22" s="78"/>
      <c r="G22" s="78"/>
      <c r="H22" s="78"/>
      <c r="I22" s="78"/>
    </row>
    <row r="23" spans="2:9" ht="18" customHeight="1" x14ac:dyDescent="0.3">
      <c r="B23" s="7" t="s">
        <v>40</v>
      </c>
      <c r="C23" s="74" t="s">
        <v>41</v>
      </c>
      <c r="D23" s="74"/>
      <c r="E23" s="74"/>
      <c r="F23" s="74"/>
      <c r="G23" s="74"/>
      <c r="H23" s="74"/>
      <c r="I23" s="74"/>
    </row>
    <row r="24" spans="2:9" ht="18" customHeight="1" x14ac:dyDescent="0.3">
      <c r="B24" s="7" t="s">
        <v>42</v>
      </c>
      <c r="C24" s="73" t="s">
        <v>43</v>
      </c>
      <c r="D24" s="73"/>
      <c r="E24" s="73"/>
      <c r="F24" s="73"/>
      <c r="G24" s="73"/>
      <c r="H24" s="73"/>
      <c r="I24" s="73"/>
    </row>
    <row r="25" spans="2:9" ht="18" customHeight="1" x14ac:dyDescent="0.3">
      <c r="B25" s="7" t="s">
        <v>44</v>
      </c>
      <c r="C25" s="74" t="s">
        <v>45</v>
      </c>
      <c r="D25" s="74"/>
      <c r="E25" s="74"/>
      <c r="F25" s="74"/>
      <c r="G25" s="74"/>
      <c r="H25" s="74"/>
      <c r="I25" s="74"/>
    </row>
    <row r="26" spans="2:9" ht="18" customHeight="1" x14ac:dyDescent="0.3">
      <c r="B26" s="7" t="s">
        <v>46</v>
      </c>
      <c r="C26" s="73" t="s">
        <v>47</v>
      </c>
      <c r="D26" s="73"/>
      <c r="E26" s="73"/>
      <c r="F26" s="73"/>
      <c r="G26" s="73"/>
      <c r="H26" s="73"/>
      <c r="I26" s="73"/>
    </row>
    <row r="27" spans="2:9" ht="18" customHeight="1" x14ac:dyDescent="0.3">
      <c r="B27" s="7" t="s">
        <v>48</v>
      </c>
      <c r="C27" s="74" t="s">
        <v>49</v>
      </c>
      <c r="D27" s="74"/>
      <c r="E27" s="74"/>
      <c r="F27" s="74"/>
      <c r="G27" s="74"/>
      <c r="H27" s="74"/>
      <c r="I27" s="74"/>
    </row>
    <row r="28" spans="2:9" ht="18" customHeight="1" x14ac:dyDescent="0.3">
      <c r="B28" s="7" t="s">
        <v>50</v>
      </c>
      <c r="C28" s="73" t="s">
        <v>51</v>
      </c>
      <c r="D28" s="73"/>
      <c r="E28" s="73"/>
      <c r="F28" s="73"/>
      <c r="G28" s="73"/>
      <c r="H28" s="73"/>
      <c r="I28" s="73"/>
    </row>
    <row r="29" spans="2:9" ht="18" customHeight="1" x14ac:dyDescent="0.3">
      <c r="B29" s="7" t="s">
        <v>52</v>
      </c>
      <c r="C29" s="74" t="s">
        <v>53</v>
      </c>
      <c r="D29" s="74"/>
      <c r="E29" s="74"/>
      <c r="F29" s="74"/>
      <c r="G29" s="74"/>
      <c r="H29" s="74"/>
      <c r="I29" s="74"/>
    </row>
    <row r="30" spans="2:9" ht="18" customHeight="1" x14ac:dyDescent="0.3">
      <c r="B30" s="7" t="s">
        <v>54</v>
      </c>
      <c r="C30" s="73" t="s">
        <v>55</v>
      </c>
      <c r="D30" s="73"/>
      <c r="E30" s="73"/>
      <c r="F30" s="73"/>
      <c r="G30" s="73"/>
      <c r="H30" s="73"/>
      <c r="I30" s="73"/>
    </row>
  </sheetData>
  <mergeCells count="13">
    <mergeCell ref="B1:I1"/>
    <mergeCell ref="B2:I2"/>
    <mergeCell ref="B4:I4"/>
    <mergeCell ref="B13:I13"/>
    <mergeCell ref="B22:I22"/>
    <mergeCell ref="C28:I28"/>
    <mergeCell ref="C29:I29"/>
    <mergeCell ref="C30:I30"/>
    <mergeCell ref="C23:I23"/>
    <mergeCell ref="C24:I24"/>
    <mergeCell ref="C25:I25"/>
    <mergeCell ref="C26:I26"/>
    <mergeCell ref="C27:I2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21"/>
  <sheetViews>
    <sheetView showGridLines="0" tabSelected="1" zoomScaleNormal="100" workbookViewId="0"/>
  </sheetViews>
  <sheetFormatPr defaultColWidth="8.6640625" defaultRowHeight="14.4" x14ac:dyDescent="0.3"/>
  <cols>
    <col min="1" max="1" width="2" customWidth="1"/>
    <col min="2" max="2" width="18" customWidth="1"/>
    <col min="3" max="8" width="14" customWidth="1"/>
    <col min="9" max="9" width="2" customWidth="1"/>
  </cols>
  <sheetData>
    <row r="1" spans="2:8" ht="31.5" customHeight="1" x14ac:dyDescent="0.3">
      <c r="B1" s="75" t="s">
        <v>56</v>
      </c>
      <c r="C1" s="75"/>
      <c r="D1" s="75"/>
      <c r="E1" s="75"/>
      <c r="F1" s="75"/>
      <c r="G1" s="75"/>
      <c r="H1" s="75"/>
    </row>
    <row r="2" spans="2:8" ht="13.5" customHeight="1" x14ac:dyDescent="0.3">
      <c r="B2" s="76" t="s">
        <v>57</v>
      </c>
      <c r="C2" s="76"/>
      <c r="D2" s="76"/>
      <c r="E2" s="76"/>
      <c r="F2" s="76"/>
      <c r="G2" s="76"/>
      <c r="H2" s="76"/>
    </row>
    <row r="3" spans="2:8" ht="30.6" customHeight="1" x14ac:dyDescent="0.3">
      <c r="B3" s="77" t="s">
        <v>58</v>
      </c>
      <c r="C3" s="77"/>
      <c r="D3" s="77"/>
      <c r="E3" s="77"/>
      <c r="F3" s="77"/>
      <c r="G3" s="77"/>
      <c r="H3" s="77"/>
    </row>
    <row r="4" spans="2:8" ht="36" customHeight="1" x14ac:dyDescent="0.3">
      <c r="B4" s="6" t="s">
        <v>24</v>
      </c>
      <c r="C4" s="6" t="s">
        <v>59</v>
      </c>
      <c r="D4" s="6" t="s">
        <v>60</v>
      </c>
      <c r="E4" s="6" t="s">
        <v>61</v>
      </c>
      <c r="F4" s="6" t="s">
        <v>62</v>
      </c>
      <c r="G4" s="6" t="s">
        <v>63</v>
      </c>
      <c r="H4" s="6" t="s">
        <v>64</v>
      </c>
    </row>
    <row r="5" spans="2:8" ht="18" customHeight="1" x14ac:dyDescent="0.3">
      <c r="B5" s="7" t="s">
        <v>36</v>
      </c>
      <c r="C5" s="8">
        <v>450</v>
      </c>
      <c r="D5" s="20">
        <v>5.7999999999999996E-3</v>
      </c>
      <c r="E5" s="10">
        <f t="shared" ref="E5:E10" si="0">C5*D5</f>
        <v>2.61</v>
      </c>
      <c r="F5" s="8">
        <v>3</v>
      </c>
      <c r="G5" s="21">
        <f t="shared" ref="G5:G11" si="1">IF(E5=0,"-",F5/E5*100)</f>
        <v>114.94252873563219</v>
      </c>
      <c r="H5" s="22" t="str">
        <f t="shared" ref="H5:H10" si="2">IF(F5=0,"N/A","["&amp;TEXT(G5*(1-1.96/SQRT(F5+0.5)),"0.0")&amp;", "&amp;TEXT(G5*(1+1.96/SQRT(F5+0.5)),"0.0")&amp;"]")</f>
        <v>[-5.5, 235.4]</v>
      </c>
    </row>
    <row r="6" spans="2:8" ht="18" customHeight="1" x14ac:dyDescent="0.3">
      <c r="B6" s="7" t="s">
        <v>65</v>
      </c>
      <c r="C6" s="12">
        <v>680</v>
      </c>
      <c r="D6" s="23">
        <v>1.0999999999999999E-2</v>
      </c>
      <c r="E6" s="14">
        <f t="shared" si="0"/>
        <v>7.4799999999999995</v>
      </c>
      <c r="F6" s="12">
        <v>8</v>
      </c>
      <c r="G6" s="24">
        <f t="shared" si="1"/>
        <v>106.95187165775401</v>
      </c>
      <c r="H6" s="25" t="str">
        <f t="shared" si="2"/>
        <v>[35.1, 178.9]</v>
      </c>
    </row>
    <row r="7" spans="2:8" ht="18" customHeight="1" x14ac:dyDescent="0.3">
      <c r="B7" s="7" t="s">
        <v>66</v>
      </c>
      <c r="C7" s="8">
        <v>720</v>
      </c>
      <c r="D7" s="20">
        <v>2.1000000000000001E-2</v>
      </c>
      <c r="E7" s="10">
        <f t="shared" si="0"/>
        <v>15.120000000000001</v>
      </c>
      <c r="F7" s="8">
        <v>17</v>
      </c>
      <c r="G7" s="21">
        <f t="shared" si="1"/>
        <v>112.43386243386242</v>
      </c>
      <c r="H7" s="22" t="str">
        <f t="shared" si="2"/>
        <v>[59.8, 165.1]</v>
      </c>
    </row>
    <row r="8" spans="2:8" ht="18" customHeight="1" x14ac:dyDescent="0.3">
      <c r="B8" s="7" t="s">
        <v>67</v>
      </c>
      <c r="C8" s="12">
        <v>560</v>
      </c>
      <c r="D8" s="23">
        <v>3.9E-2</v>
      </c>
      <c r="E8" s="14">
        <f t="shared" si="0"/>
        <v>21.84</v>
      </c>
      <c r="F8" s="12">
        <v>25</v>
      </c>
      <c r="G8" s="24">
        <f t="shared" si="1"/>
        <v>114.46886446886447</v>
      </c>
      <c r="H8" s="25" t="str">
        <f t="shared" si="2"/>
        <v>[70.0, 158.9]</v>
      </c>
    </row>
    <row r="9" spans="2:8" ht="18" customHeight="1" x14ac:dyDescent="0.3">
      <c r="B9" s="7" t="s">
        <v>68</v>
      </c>
      <c r="C9" s="8">
        <v>310</v>
      </c>
      <c r="D9" s="20">
        <v>7.0999999999999994E-2</v>
      </c>
      <c r="E9" s="10">
        <f t="shared" si="0"/>
        <v>22.009999999999998</v>
      </c>
      <c r="F9" s="8">
        <v>27</v>
      </c>
      <c r="G9" s="21">
        <f t="shared" si="1"/>
        <v>122.67151294865972</v>
      </c>
      <c r="H9" s="22" t="str">
        <f t="shared" si="2"/>
        <v>[76.8, 168.5]</v>
      </c>
    </row>
    <row r="10" spans="2:8" ht="18" customHeight="1" x14ac:dyDescent="0.3">
      <c r="B10" s="7" t="s">
        <v>69</v>
      </c>
      <c r="C10" s="12">
        <v>140</v>
      </c>
      <c r="D10" s="23">
        <v>0.125</v>
      </c>
      <c r="E10" s="14">
        <f t="shared" si="0"/>
        <v>17.5</v>
      </c>
      <c r="F10" s="12">
        <v>20</v>
      </c>
      <c r="G10" s="24">
        <f t="shared" si="1"/>
        <v>114.28571428571428</v>
      </c>
      <c r="H10" s="25" t="str">
        <f t="shared" si="2"/>
        <v>[64.8, 163.8]</v>
      </c>
    </row>
    <row r="11" spans="2:8" ht="19.5" customHeight="1" x14ac:dyDescent="0.3">
      <c r="B11" s="7" t="s">
        <v>70</v>
      </c>
      <c r="C11" s="16">
        <f>SUM(C5:C10)</f>
        <v>2860</v>
      </c>
      <c r="D11" s="17"/>
      <c r="E11" s="18">
        <f>SUM(E5:E10)</f>
        <v>86.56</v>
      </c>
      <c r="F11" s="16">
        <f>SUM(F5:F10)</f>
        <v>100</v>
      </c>
      <c r="G11" s="26">
        <f t="shared" si="1"/>
        <v>115.5268022181146</v>
      </c>
      <c r="H11" s="17"/>
    </row>
    <row r="13" spans="2:8" ht="19.5" customHeight="1" x14ac:dyDescent="0.3">
      <c r="B13" s="78" t="s">
        <v>71</v>
      </c>
      <c r="C13" s="78"/>
      <c r="D13" s="78"/>
      <c r="E13" s="78"/>
      <c r="F13" s="78"/>
      <c r="G13" s="78"/>
      <c r="H13" s="78"/>
    </row>
    <row r="14" spans="2:8" ht="18" customHeight="1" x14ac:dyDescent="0.3">
      <c r="B14" s="7" t="s">
        <v>72</v>
      </c>
      <c r="C14" s="74" t="s">
        <v>73</v>
      </c>
      <c r="D14" s="74"/>
      <c r="E14" s="74"/>
      <c r="F14" s="74"/>
      <c r="G14" s="74"/>
      <c r="H14" s="74"/>
    </row>
    <row r="15" spans="2:8" ht="18" customHeight="1" x14ac:dyDescent="0.3">
      <c r="B15" s="7" t="s">
        <v>74</v>
      </c>
      <c r="C15" s="73" t="s">
        <v>75</v>
      </c>
      <c r="D15" s="73"/>
      <c r="E15" s="73"/>
      <c r="F15" s="73"/>
      <c r="G15" s="73"/>
      <c r="H15" s="73"/>
    </row>
    <row r="16" spans="2:8" ht="18" customHeight="1" x14ac:dyDescent="0.3">
      <c r="B16" s="7" t="s">
        <v>76</v>
      </c>
      <c r="C16" s="74" t="s">
        <v>77</v>
      </c>
      <c r="D16" s="74"/>
      <c r="E16" s="74"/>
      <c r="F16" s="74"/>
      <c r="G16" s="74"/>
      <c r="H16" s="74"/>
    </row>
    <row r="17" spans="2:8" ht="18" customHeight="1" x14ac:dyDescent="0.3">
      <c r="B17" s="7" t="s">
        <v>78</v>
      </c>
      <c r="C17" s="73" t="s">
        <v>79</v>
      </c>
      <c r="D17" s="73"/>
      <c r="E17" s="73"/>
      <c r="F17" s="73"/>
      <c r="G17" s="73"/>
      <c r="H17" s="73"/>
    </row>
    <row r="18" spans="2:8" ht="18" customHeight="1" x14ac:dyDescent="0.3">
      <c r="B18" s="7" t="s">
        <v>80</v>
      </c>
      <c r="C18" s="74" t="s">
        <v>81</v>
      </c>
      <c r="D18" s="74"/>
      <c r="E18" s="74"/>
      <c r="F18" s="74"/>
      <c r="G18" s="74"/>
      <c r="H18" s="74"/>
    </row>
    <row r="19" spans="2:8" ht="18" customHeight="1" x14ac:dyDescent="0.3">
      <c r="B19" s="7" t="s">
        <v>82</v>
      </c>
      <c r="C19" s="73" t="s">
        <v>83</v>
      </c>
      <c r="D19" s="73"/>
      <c r="E19" s="73"/>
      <c r="F19" s="73"/>
      <c r="G19" s="73"/>
      <c r="H19" s="73"/>
    </row>
    <row r="20" spans="2:8" ht="18" customHeight="1" x14ac:dyDescent="0.3">
      <c r="B20" s="7" t="s">
        <v>84</v>
      </c>
      <c r="C20" s="74" t="s">
        <v>85</v>
      </c>
      <c r="D20" s="74"/>
      <c r="E20" s="74"/>
      <c r="F20" s="74"/>
      <c r="G20" s="74"/>
      <c r="H20" s="74"/>
    </row>
    <row r="21" spans="2:8" ht="18" customHeight="1" x14ac:dyDescent="0.3">
      <c r="B21" s="7" t="s">
        <v>86</v>
      </c>
      <c r="C21" s="73" t="s">
        <v>87</v>
      </c>
      <c r="D21" s="73"/>
      <c r="E21" s="73"/>
      <c r="F21" s="73"/>
      <c r="G21" s="73"/>
      <c r="H21" s="73"/>
    </row>
  </sheetData>
  <mergeCells count="12">
    <mergeCell ref="B1:H1"/>
    <mergeCell ref="B2:H2"/>
    <mergeCell ref="B3:H3"/>
    <mergeCell ref="B13:H13"/>
    <mergeCell ref="C14:H14"/>
    <mergeCell ref="C20:H20"/>
    <mergeCell ref="C21:H21"/>
    <mergeCell ref="C15:H15"/>
    <mergeCell ref="C16:H16"/>
    <mergeCell ref="C17:H17"/>
    <mergeCell ref="C18:H18"/>
    <mergeCell ref="C19:H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26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22" customWidth="1"/>
    <col min="3" max="7" width="16" customWidth="1"/>
    <col min="8" max="8" width="2" customWidth="1"/>
  </cols>
  <sheetData>
    <row r="1" spans="2:7" ht="31.5" customHeight="1" x14ac:dyDescent="0.3">
      <c r="B1" s="75" t="s">
        <v>88</v>
      </c>
      <c r="C1" s="75"/>
      <c r="D1" s="75"/>
      <c r="E1" s="75"/>
      <c r="F1" s="75"/>
      <c r="G1" s="75"/>
    </row>
    <row r="3" spans="2:7" ht="21.75" customHeight="1" x14ac:dyDescent="0.3">
      <c r="B3" s="77" t="s">
        <v>89</v>
      </c>
      <c r="C3" s="77"/>
      <c r="D3" s="77"/>
      <c r="E3" s="77"/>
      <c r="F3" s="77"/>
      <c r="G3" s="77"/>
    </row>
    <row r="4" spans="2:7" ht="36" customHeight="1" x14ac:dyDescent="0.3">
      <c r="B4" s="6" t="s">
        <v>90</v>
      </c>
      <c r="C4" s="6" t="s">
        <v>91</v>
      </c>
      <c r="D4" s="6" t="s">
        <v>92</v>
      </c>
      <c r="E4" s="6" t="s">
        <v>93</v>
      </c>
      <c r="F4" s="6" t="s">
        <v>94</v>
      </c>
      <c r="G4" s="6" t="s">
        <v>95</v>
      </c>
    </row>
    <row r="5" spans="2:7" ht="18" customHeight="1" x14ac:dyDescent="0.3">
      <c r="B5" s="7" t="s">
        <v>96</v>
      </c>
      <c r="C5" s="8">
        <v>8500</v>
      </c>
      <c r="D5" s="8">
        <v>6200</v>
      </c>
      <c r="E5" s="8">
        <v>480</v>
      </c>
      <c r="F5" s="27">
        <f>D5+E5</f>
        <v>6680</v>
      </c>
      <c r="G5" s="11">
        <f t="shared" ref="G5:G10" si="0">IF(C5=0,"-",F5/C5)</f>
        <v>0.78588235294117648</v>
      </c>
    </row>
    <row r="6" spans="2:7" ht="18" customHeight="1" x14ac:dyDescent="0.3">
      <c r="B6" s="7" t="s">
        <v>97</v>
      </c>
      <c r="C6" s="12">
        <v>4200</v>
      </c>
      <c r="D6" s="12">
        <v>3350</v>
      </c>
      <c r="E6" s="12">
        <v>270</v>
      </c>
      <c r="F6" s="28">
        <f>D6+E6</f>
        <v>3620</v>
      </c>
      <c r="G6" s="15">
        <f t="shared" si="0"/>
        <v>0.86190476190476195</v>
      </c>
    </row>
    <row r="7" spans="2:7" ht="18" customHeight="1" x14ac:dyDescent="0.3">
      <c r="B7" s="7" t="s">
        <v>98</v>
      </c>
      <c r="C7" s="8">
        <v>12800</v>
      </c>
      <c r="D7" s="8">
        <v>10900</v>
      </c>
      <c r="E7" s="8">
        <v>890</v>
      </c>
      <c r="F7" s="27">
        <f>D7+E7</f>
        <v>11790</v>
      </c>
      <c r="G7" s="11">
        <f t="shared" si="0"/>
        <v>0.92109375000000004</v>
      </c>
    </row>
    <row r="8" spans="2:7" ht="18" customHeight="1" x14ac:dyDescent="0.3">
      <c r="B8" s="7" t="s">
        <v>99</v>
      </c>
      <c r="C8" s="12">
        <v>22000</v>
      </c>
      <c r="D8" s="12">
        <v>19500</v>
      </c>
      <c r="E8" s="12">
        <v>1600</v>
      </c>
      <c r="F8" s="28">
        <f>D8+E8</f>
        <v>21100</v>
      </c>
      <c r="G8" s="15">
        <f t="shared" si="0"/>
        <v>0.95909090909090911</v>
      </c>
    </row>
    <row r="9" spans="2:7" ht="18" customHeight="1" x14ac:dyDescent="0.3">
      <c r="B9" s="7" t="s">
        <v>100</v>
      </c>
      <c r="C9" s="8">
        <v>3100</v>
      </c>
      <c r="D9" s="8">
        <v>2650</v>
      </c>
      <c r="E9" s="8">
        <v>185</v>
      </c>
      <c r="F9" s="27">
        <f>D9+E9</f>
        <v>2835</v>
      </c>
      <c r="G9" s="11">
        <f t="shared" si="0"/>
        <v>0.9145161290322581</v>
      </c>
    </row>
    <row r="10" spans="2:7" ht="19.5" customHeight="1" x14ac:dyDescent="0.3">
      <c r="B10" s="7" t="s">
        <v>70</v>
      </c>
      <c r="C10" s="16">
        <f>SUM(C5:C9)</f>
        <v>50600</v>
      </c>
      <c r="D10" s="16">
        <f>SUM(D5:D9)</f>
        <v>42600</v>
      </c>
      <c r="E10" s="16">
        <f>SUM(E5:E9)</f>
        <v>3425</v>
      </c>
      <c r="F10" s="16">
        <f>SUM(F5:F9)</f>
        <v>46025</v>
      </c>
      <c r="G10" s="19">
        <f t="shared" si="0"/>
        <v>0.90958498023715417</v>
      </c>
    </row>
    <row r="12" spans="2:7" ht="21.75" customHeight="1" x14ac:dyDescent="0.3">
      <c r="B12" s="77" t="s">
        <v>101</v>
      </c>
      <c r="C12" s="77"/>
      <c r="D12" s="77"/>
      <c r="E12" s="77"/>
      <c r="F12" s="77"/>
      <c r="G12" s="77"/>
    </row>
    <row r="13" spans="2:7" ht="36" customHeight="1" x14ac:dyDescent="0.3">
      <c r="B13" s="6" t="s">
        <v>102</v>
      </c>
      <c r="C13" s="6" t="s">
        <v>103</v>
      </c>
      <c r="D13" s="6" t="s">
        <v>104</v>
      </c>
      <c r="E13" s="6" t="s">
        <v>105</v>
      </c>
      <c r="F13" s="6" t="s">
        <v>106</v>
      </c>
      <c r="G13" s="6" t="s">
        <v>107</v>
      </c>
    </row>
    <row r="14" spans="2:7" ht="18" customHeight="1" x14ac:dyDescent="0.3">
      <c r="B14" s="7">
        <v>2020</v>
      </c>
      <c r="C14" s="8">
        <v>4200</v>
      </c>
      <c r="D14" s="29">
        <v>0.5</v>
      </c>
      <c r="E14" s="27">
        <f>C14*D14</f>
        <v>2100</v>
      </c>
      <c r="F14" s="29">
        <v>0.1</v>
      </c>
      <c r="G14" s="27">
        <f>C14*F14</f>
        <v>420</v>
      </c>
    </row>
    <row r="15" spans="2:7" ht="18" customHeight="1" x14ac:dyDescent="0.3">
      <c r="B15" s="7">
        <v>2021</v>
      </c>
      <c r="C15" s="12">
        <v>4650</v>
      </c>
      <c r="D15" s="30">
        <v>0.5</v>
      </c>
      <c r="E15" s="28">
        <f>C15*D15</f>
        <v>2325</v>
      </c>
      <c r="F15" s="30">
        <v>0.1</v>
      </c>
      <c r="G15" s="28">
        <f>C15*F15</f>
        <v>465</v>
      </c>
    </row>
    <row r="16" spans="2:7" ht="18" customHeight="1" x14ac:dyDescent="0.3">
      <c r="B16" s="7">
        <v>2022</v>
      </c>
      <c r="C16" s="8">
        <v>5100</v>
      </c>
      <c r="D16" s="29">
        <v>0.5</v>
      </c>
      <c r="E16" s="27">
        <f>C16*D16</f>
        <v>2550</v>
      </c>
      <c r="F16" s="29">
        <v>0.1</v>
      </c>
      <c r="G16" s="27">
        <f>C16*F16</f>
        <v>510</v>
      </c>
    </row>
    <row r="17" spans="2:7" ht="18" customHeight="1" x14ac:dyDescent="0.3">
      <c r="B17" s="7">
        <v>2023</v>
      </c>
      <c r="C17" s="12">
        <v>5800</v>
      </c>
      <c r="D17" s="30">
        <v>0.5</v>
      </c>
      <c r="E17" s="28">
        <f>C17*D17</f>
        <v>2900</v>
      </c>
      <c r="F17" s="30">
        <v>0.1</v>
      </c>
      <c r="G17" s="28">
        <f>C17*F17</f>
        <v>580</v>
      </c>
    </row>
    <row r="18" spans="2:7" ht="18" customHeight="1" x14ac:dyDescent="0.3">
      <c r="B18" s="7">
        <v>2024</v>
      </c>
      <c r="C18" s="8">
        <v>6200</v>
      </c>
      <c r="D18" s="29">
        <v>0.5</v>
      </c>
      <c r="E18" s="27">
        <f>C18*D18</f>
        <v>3100</v>
      </c>
      <c r="F18" s="29">
        <v>0.1</v>
      </c>
      <c r="G18" s="27">
        <f>C18*F18</f>
        <v>620</v>
      </c>
    </row>
    <row r="20" spans="2:7" ht="19.5" customHeight="1" x14ac:dyDescent="0.3">
      <c r="B20" s="78" t="s">
        <v>108</v>
      </c>
      <c r="C20" s="78"/>
      <c r="D20" s="78"/>
      <c r="E20" s="78"/>
      <c r="F20" s="78"/>
      <c r="G20" s="78"/>
    </row>
    <row r="21" spans="2:7" ht="18" customHeight="1" x14ac:dyDescent="0.3">
      <c r="B21" s="7" t="s">
        <v>109</v>
      </c>
      <c r="C21" s="74" t="s">
        <v>110</v>
      </c>
      <c r="D21" s="74"/>
      <c r="E21" s="74"/>
      <c r="F21" s="74"/>
      <c r="G21" s="74"/>
    </row>
    <row r="22" spans="2:7" ht="18" customHeight="1" x14ac:dyDescent="0.3">
      <c r="B22" s="7" t="s">
        <v>111</v>
      </c>
      <c r="C22" s="73" t="s">
        <v>112</v>
      </c>
      <c r="D22" s="73"/>
      <c r="E22" s="73"/>
      <c r="F22" s="73"/>
      <c r="G22" s="73"/>
    </row>
    <row r="23" spans="2:7" ht="18" customHeight="1" x14ac:dyDescent="0.3">
      <c r="B23" s="7" t="s">
        <v>113</v>
      </c>
      <c r="C23" s="74" t="s">
        <v>114</v>
      </c>
      <c r="D23" s="74"/>
      <c r="E23" s="74"/>
      <c r="F23" s="74"/>
      <c r="G23" s="74"/>
    </row>
    <row r="24" spans="2:7" ht="18" customHeight="1" x14ac:dyDescent="0.3">
      <c r="B24" s="7" t="s">
        <v>115</v>
      </c>
      <c r="C24" s="73" t="s">
        <v>116</v>
      </c>
      <c r="D24" s="73"/>
      <c r="E24" s="73"/>
      <c r="F24" s="73"/>
      <c r="G24" s="73"/>
    </row>
    <row r="25" spans="2:7" ht="18" customHeight="1" x14ac:dyDescent="0.3">
      <c r="B25" s="7" t="s">
        <v>117</v>
      </c>
      <c r="C25" s="74" t="s">
        <v>118</v>
      </c>
      <c r="D25" s="74"/>
      <c r="E25" s="74"/>
      <c r="F25" s="74"/>
      <c r="G25" s="74"/>
    </row>
    <row r="26" spans="2:7" ht="18" customHeight="1" x14ac:dyDescent="0.3">
      <c r="B26" s="7" t="s">
        <v>119</v>
      </c>
      <c r="C26" s="73" t="s">
        <v>120</v>
      </c>
      <c r="D26" s="73"/>
      <c r="E26" s="73"/>
      <c r="F26" s="73"/>
      <c r="G26" s="73"/>
    </row>
  </sheetData>
  <mergeCells count="10">
    <mergeCell ref="B1:G1"/>
    <mergeCell ref="B3:G3"/>
    <mergeCell ref="B12:G12"/>
    <mergeCell ref="B20:G20"/>
    <mergeCell ref="C21:G21"/>
    <mergeCell ref="C22:G22"/>
    <mergeCell ref="C23:G23"/>
    <mergeCell ref="C24:G24"/>
    <mergeCell ref="C25:G25"/>
    <mergeCell ref="C26:G2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27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14" customWidth="1"/>
    <col min="3" max="9" width="13" customWidth="1"/>
    <col min="10" max="10" width="2" customWidth="1"/>
  </cols>
  <sheetData>
    <row r="1" spans="2:9" ht="31.5" customHeight="1" x14ac:dyDescent="0.3">
      <c r="B1" s="75" t="s">
        <v>121</v>
      </c>
      <c r="C1" s="75"/>
      <c r="D1" s="75"/>
      <c r="E1" s="75"/>
      <c r="F1" s="75"/>
      <c r="G1" s="75"/>
      <c r="H1" s="75"/>
      <c r="I1" s="75"/>
    </row>
    <row r="3" spans="2:9" ht="21.75" customHeight="1" x14ac:dyDescent="0.3">
      <c r="B3" s="77" t="s">
        <v>122</v>
      </c>
      <c r="C3" s="77"/>
      <c r="D3" s="77"/>
      <c r="E3" s="77"/>
      <c r="F3" s="77"/>
      <c r="G3" s="77"/>
      <c r="H3" s="77"/>
      <c r="I3" s="77"/>
    </row>
    <row r="4" spans="2:9" ht="18" customHeight="1" x14ac:dyDescent="0.3">
      <c r="B4" s="7" t="s">
        <v>123</v>
      </c>
      <c r="C4" s="31" t="s">
        <v>124</v>
      </c>
      <c r="D4" s="31" t="s">
        <v>125</v>
      </c>
      <c r="E4" s="31" t="s">
        <v>126</v>
      </c>
      <c r="F4" s="31" t="s">
        <v>127</v>
      </c>
      <c r="G4" s="31" t="s">
        <v>128</v>
      </c>
    </row>
    <row r="5" spans="2:9" ht="18" customHeight="1" x14ac:dyDescent="0.3">
      <c r="B5" s="7" t="s">
        <v>129</v>
      </c>
      <c r="C5" s="32">
        <v>0.37</v>
      </c>
      <c r="D5" s="32">
        <v>0.68</v>
      </c>
      <c r="E5" s="32">
        <v>0.89</v>
      </c>
      <c r="F5" s="32">
        <v>0.97</v>
      </c>
      <c r="G5" s="32">
        <v>1</v>
      </c>
    </row>
    <row r="7" spans="2:9" ht="21.75" customHeight="1" x14ac:dyDescent="0.3">
      <c r="B7" s="77" t="s">
        <v>130</v>
      </c>
      <c r="C7" s="77"/>
      <c r="D7" s="77"/>
      <c r="E7" s="77"/>
      <c r="F7" s="77"/>
      <c r="G7" s="77"/>
      <c r="H7" s="77"/>
      <c r="I7" s="77"/>
    </row>
    <row r="8" spans="2:9" ht="36" customHeight="1" x14ac:dyDescent="0.3">
      <c r="B8" s="6" t="s">
        <v>131</v>
      </c>
      <c r="C8" s="6" t="s">
        <v>132</v>
      </c>
      <c r="D8" s="6" t="s">
        <v>133</v>
      </c>
      <c r="E8" s="6" t="s">
        <v>134</v>
      </c>
      <c r="F8" s="6" t="s">
        <v>135</v>
      </c>
      <c r="G8" s="6" t="s">
        <v>136</v>
      </c>
      <c r="H8" s="6" t="s">
        <v>137</v>
      </c>
    </row>
    <row r="9" spans="2:9" ht="18" customHeight="1" x14ac:dyDescent="0.3">
      <c r="B9" s="7" t="s">
        <v>138</v>
      </c>
      <c r="C9" s="8">
        <v>795</v>
      </c>
      <c r="D9" s="8">
        <v>158</v>
      </c>
      <c r="E9" s="33">
        <v>4</v>
      </c>
      <c r="F9" s="34">
        <f>G5</f>
        <v>1</v>
      </c>
      <c r="G9" s="10">
        <f t="shared" ref="G9:G17" si="0">IF(F9=0,D9,D9/F9)</f>
        <v>158</v>
      </c>
      <c r="H9" s="11">
        <f t="shared" ref="H9:H17" si="1">IF(C9=0,"-",G9/C9)</f>
        <v>0.19874213836477989</v>
      </c>
    </row>
    <row r="10" spans="2:9" ht="18" customHeight="1" x14ac:dyDescent="0.3">
      <c r="B10" s="7" t="s">
        <v>139</v>
      </c>
      <c r="C10" s="12">
        <v>806</v>
      </c>
      <c r="D10" s="12">
        <v>163</v>
      </c>
      <c r="E10" s="35">
        <v>4</v>
      </c>
      <c r="F10" s="36">
        <f>G5</f>
        <v>1</v>
      </c>
      <c r="G10" s="14">
        <f t="shared" si="0"/>
        <v>163</v>
      </c>
      <c r="H10" s="15">
        <f t="shared" si="1"/>
        <v>0.20223325062034739</v>
      </c>
    </row>
    <row r="11" spans="2:9" ht="18" customHeight="1" x14ac:dyDescent="0.3">
      <c r="B11" s="7" t="s">
        <v>140</v>
      </c>
      <c r="C11" s="8">
        <v>853</v>
      </c>
      <c r="D11" s="8">
        <v>159</v>
      </c>
      <c r="E11" s="33">
        <v>4</v>
      </c>
      <c r="F11" s="34">
        <f>G5</f>
        <v>1</v>
      </c>
      <c r="G11" s="10">
        <f t="shared" si="0"/>
        <v>159</v>
      </c>
      <c r="H11" s="11">
        <f t="shared" si="1"/>
        <v>0.18640093786635403</v>
      </c>
    </row>
    <row r="12" spans="2:9" ht="18" customHeight="1" x14ac:dyDescent="0.3">
      <c r="B12" s="7" t="s">
        <v>141</v>
      </c>
      <c r="C12" s="12">
        <v>602</v>
      </c>
      <c r="D12" s="12">
        <v>101</v>
      </c>
      <c r="E12" s="35">
        <v>4</v>
      </c>
      <c r="F12" s="36">
        <f>G5</f>
        <v>1</v>
      </c>
      <c r="G12" s="14">
        <f t="shared" si="0"/>
        <v>101</v>
      </c>
      <c r="H12" s="15">
        <f t="shared" si="1"/>
        <v>0.16777408637873753</v>
      </c>
    </row>
    <row r="13" spans="2:9" ht="18" customHeight="1" x14ac:dyDescent="0.3">
      <c r="B13" s="7" t="s">
        <v>142</v>
      </c>
      <c r="C13" s="8">
        <v>945</v>
      </c>
      <c r="D13" s="8">
        <v>163</v>
      </c>
      <c r="E13" s="33">
        <v>4</v>
      </c>
      <c r="F13" s="34">
        <f>G5</f>
        <v>1</v>
      </c>
      <c r="G13" s="10">
        <f t="shared" si="0"/>
        <v>163</v>
      </c>
      <c r="H13" s="11">
        <f t="shared" si="1"/>
        <v>0.17248677248677249</v>
      </c>
    </row>
    <row r="14" spans="2:9" ht="18" customHeight="1" x14ac:dyDescent="0.3">
      <c r="B14" s="7" t="s">
        <v>143</v>
      </c>
      <c r="C14" s="12">
        <v>791</v>
      </c>
      <c r="D14" s="12">
        <v>223</v>
      </c>
      <c r="E14" s="35">
        <v>3</v>
      </c>
      <c r="F14" s="36">
        <f>F5</f>
        <v>0.97</v>
      </c>
      <c r="G14" s="14">
        <f t="shared" si="0"/>
        <v>229.89690721649484</v>
      </c>
      <c r="H14" s="15">
        <f t="shared" si="1"/>
        <v>0.29064084351010727</v>
      </c>
    </row>
    <row r="15" spans="2:9" ht="18" customHeight="1" x14ac:dyDescent="0.3">
      <c r="B15" s="7" t="s">
        <v>144</v>
      </c>
      <c r="C15" s="8">
        <v>812</v>
      </c>
      <c r="D15" s="8">
        <v>218</v>
      </c>
      <c r="E15" s="33">
        <v>2</v>
      </c>
      <c r="F15" s="34">
        <f>E5</f>
        <v>0.89</v>
      </c>
      <c r="G15" s="10">
        <f t="shared" si="0"/>
        <v>244.9438202247191</v>
      </c>
      <c r="H15" s="11">
        <f t="shared" si="1"/>
        <v>0.30165495101566392</v>
      </c>
    </row>
    <row r="16" spans="2:9" ht="18" customHeight="1" x14ac:dyDescent="0.3">
      <c r="B16" s="7" t="s">
        <v>145</v>
      </c>
      <c r="C16" s="12">
        <v>880</v>
      </c>
      <c r="D16" s="12">
        <v>177</v>
      </c>
      <c r="E16" s="35">
        <v>1</v>
      </c>
      <c r="F16" s="36">
        <f>D5</f>
        <v>0.68</v>
      </c>
      <c r="G16" s="14">
        <f t="shared" si="0"/>
        <v>260.29411764705878</v>
      </c>
      <c r="H16" s="15">
        <f t="shared" si="1"/>
        <v>0.29578877005347587</v>
      </c>
    </row>
    <row r="17" spans="2:9" ht="18" customHeight="1" x14ac:dyDescent="0.3">
      <c r="B17" s="7" t="s">
        <v>146</v>
      </c>
      <c r="C17" s="8">
        <v>853</v>
      </c>
      <c r="D17" s="8">
        <v>104</v>
      </c>
      <c r="E17" s="33">
        <v>0</v>
      </c>
      <c r="F17" s="34">
        <f>C5</f>
        <v>0.37</v>
      </c>
      <c r="G17" s="10">
        <f t="shared" si="0"/>
        <v>281.08108108108109</v>
      </c>
      <c r="H17" s="11">
        <f t="shared" si="1"/>
        <v>0.3295206108805171</v>
      </c>
    </row>
    <row r="20" spans="2:9" ht="19.5" customHeight="1" x14ac:dyDescent="0.3">
      <c r="B20" s="78" t="s">
        <v>71</v>
      </c>
      <c r="C20" s="78"/>
      <c r="D20" s="78"/>
      <c r="E20" s="78"/>
      <c r="F20" s="78"/>
      <c r="G20" s="78"/>
      <c r="H20" s="78"/>
      <c r="I20" s="78"/>
    </row>
    <row r="21" spans="2:9" ht="18" customHeight="1" x14ac:dyDescent="0.3">
      <c r="B21" s="7" t="s">
        <v>147</v>
      </c>
      <c r="C21" s="74" t="s">
        <v>148</v>
      </c>
      <c r="D21" s="74"/>
      <c r="E21" s="74"/>
      <c r="F21" s="74"/>
      <c r="G21" s="74"/>
      <c r="H21" s="74"/>
      <c r="I21" s="74"/>
    </row>
    <row r="22" spans="2:9" ht="18" customHeight="1" x14ac:dyDescent="0.3">
      <c r="B22" s="7" t="s">
        <v>149</v>
      </c>
      <c r="C22" s="73" t="s">
        <v>150</v>
      </c>
      <c r="D22" s="73"/>
      <c r="E22" s="73"/>
      <c r="F22" s="73"/>
      <c r="G22" s="73"/>
      <c r="H22" s="73"/>
      <c r="I22" s="73"/>
    </row>
    <row r="23" spans="2:9" ht="18" customHeight="1" x14ac:dyDescent="0.3">
      <c r="B23" s="7" t="s">
        <v>151</v>
      </c>
      <c r="C23" s="74" t="s">
        <v>152</v>
      </c>
      <c r="D23" s="74"/>
      <c r="E23" s="74"/>
      <c r="F23" s="74"/>
      <c r="G23" s="74"/>
      <c r="H23" s="74"/>
      <c r="I23" s="74"/>
    </row>
    <row r="24" spans="2:9" ht="18" customHeight="1" x14ac:dyDescent="0.3">
      <c r="B24" s="7" t="s">
        <v>153</v>
      </c>
      <c r="C24" s="73" t="s">
        <v>154</v>
      </c>
      <c r="D24" s="73"/>
      <c r="E24" s="73"/>
      <c r="F24" s="73"/>
      <c r="G24" s="73"/>
      <c r="H24" s="73"/>
      <c r="I24" s="73"/>
    </row>
    <row r="25" spans="2:9" ht="18" customHeight="1" x14ac:dyDescent="0.3">
      <c r="B25" s="7" t="s">
        <v>155</v>
      </c>
      <c r="C25" s="74" t="s">
        <v>156</v>
      </c>
      <c r="D25" s="74"/>
      <c r="E25" s="74"/>
      <c r="F25" s="74"/>
      <c r="G25" s="74"/>
      <c r="H25" s="74"/>
      <c r="I25" s="74"/>
    </row>
    <row r="26" spans="2:9" ht="18" customHeight="1" x14ac:dyDescent="0.3">
      <c r="B26" s="7" t="s">
        <v>157</v>
      </c>
      <c r="C26" s="73" t="s">
        <v>158</v>
      </c>
      <c r="D26" s="73"/>
      <c r="E26" s="73"/>
      <c r="F26" s="73"/>
      <c r="G26" s="73"/>
      <c r="H26" s="73"/>
      <c r="I26" s="73"/>
    </row>
    <row r="27" spans="2:9" ht="18" customHeight="1" x14ac:dyDescent="0.3">
      <c r="B27" s="7" t="s">
        <v>159</v>
      </c>
      <c r="C27" s="74" t="s">
        <v>160</v>
      </c>
      <c r="D27" s="74"/>
      <c r="E27" s="74"/>
      <c r="F27" s="74"/>
      <c r="G27" s="74"/>
      <c r="H27" s="74"/>
      <c r="I27" s="74"/>
    </row>
  </sheetData>
  <mergeCells count="11">
    <mergeCell ref="B1:I1"/>
    <mergeCell ref="B3:I3"/>
    <mergeCell ref="B7:I7"/>
    <mergeCell ref="B20:I20"/>
    <mergeCell ref="C21:I21"/>
    <mergeCell ref="C27:I27"/>
    <mergeCell ref="C22:I22"/>
    <mergeCell ref="C23:I23"/>
    <mergeCell ref="C24:I24"/>
    <mergeCell ref="C25:I25"/>
    <mergeCell ref="C26:I2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21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22" customWidth="1"/>
    <col min="3" max="7" width="14" customWidth="1"/>
    <col min="8" max="8" width="30.44140625" bestFit="1" customWidth="1"/>
    <col min="9" max="9" width="2" customWidth="1"/>
  </cols>
  <sheetData>
    <row r="1" spans="2:8" ht="31.5" customHeight="1" x14ac:dyDescent="0.3">
      <c r="B1" s="75" t="s">
        <v>161</v>
      </c>
      <c r="C1" s="75"/>
      <c r="D1" s="75"/>
      <c r="E1" s="75"/>
      <c r="F1" s="75"/>
      <c r="G1" s="75"/>
      <c r="H1" s="75"/>
    </row>
    <row r="2" spans="2:8" ht="21.75" customHeight="1" x14ac:dyDescent="0.3">
      <c r="B2" s="77" t="s">
        <v>162</v>
      </c>
      <c r="C2" s="77"/>
      <c r="D2" s="77"/>
      <c r="E2" s="77"/>
      <c r="F2" s="77"/>
      <c r="G2" s="77"/>
      <c r="H2" s="77"/>
    </row>
    <row r="3" spans="2:8" ht="36" customHeight="1" x14ac:dyDescent="0.3">
      <c r="B3" s="6" t="s">
        <v>163</v>
      </c>
      <c r="C3" s="6" t="s">
        <v>164</v>
      </c>
      <c r="D3" s="6" t="s">
        <v>165</v>
      </c>
      <c r="E3" s="6" t="s">
        <v>166</v>
      </c>
      <c r="F3" s="6" t="s">
        <v>167</v>
      </c>
      <c r="G3" s="6" t="s">
        <v>168</v>
      </c>
      <c r="H3" s="6" t="s">
        <v>169</v>
      </c>
    </row>
    <row r="4" spans="2:8" ht="18" customHeight="1" x14ac:dyDescent="0.3">
      <c r="B4" s="7" t="s">
        <v>170</v>
      </c>
      <c r="C4" s="8">
        <v>1200</v>
      </c>
      <c r="D4" s="8">
        <v>1350</v>
      </c>
      <c r="E4" s="37">
        <f t="shared" ref="E4:E12" si="0">D4-C4</f>
        <v>150</v>
      </c>
      <c r="F4" s="38">
        <f t="shared" ref="F4:F12" si="1">IF(C4=0,"-",E4/C4)</f>
        <v>0.125</v>
      </c>
      <c r="G4" s="39" t="s">
        <v>171</v>
      </c>
      <c r="H4" s="40" t="s">
        <v>172</v>
      </c>
    </row>
    <row r="5" spans="2:8" ht="18" customHeight="1" x14ac:dyDescent="0.3">
      <c r="B5" s="7" t="s">
        <v>173</v>
      </c>
      <c r="C5" s="12">
        <v>2800</v>
      </c>
      <c r="D5" s="12">
        <v>2910</v>
      </c>
      <c r="E5" s="41">
        <f t="shared" si="0"/>
        <v>110</v>
      </c>
      <c r="F5" s="42">
        <f t="shared" si="1"/>
        <v>3.9285714285714285E-2</v>
      </c>
      <c r="G5" s="43" t="s">
        <v>171</v>
      </c>
      <c r="H5" s="44" t="s">
        <v>174</v>
      </c>
    </row>
    <row r="6" spans="2:8" ht="18" customHeight="1" x14ac:dyDescent="0.3">
      <c r="B6" s="7" t="s">
        <v>175</v>
      </c>
      <c r="C6" s="8">
        <v>1800</v>
      </c>
      <c r="D6" s="8">
        <v>2050</v>
      </c>
      <c r="E6" s="37">
        <f t="shared" si="0"/>
        <v>250</v>
      </c>
      <c r="F6" s="38">
        <f t="shared" si="1"/>
        <v>0.1388888888888889</v>
      </c>
      <c r="G6" s="39" t="s">
        <v>171</v>
      </c>
      <c r="H6" s="40" t="s">
        <v>176</v>
      </c>
    </row>
    <row r="7" spans="2:8" ht="18" customHeight="1" x14ac:dyDescent="0.3">
      <c r="B7" s="7" t="s">
        <v>177</v>
      </c>
      <c r="C7" s="12">
        <v>320</v>
      </c>
      <c r="D7" s="12">
        <v>295</v>
      </c>
      <c r="E7" s="41">
        <f t="shared" si="0"/>
        <v>-25</v>
      </c>
      <c r="F7" s="42">
        <f t="shared" si="1"/>
        <v>-7.8125E-2</v>
      </c>
      <c r="G7" s="43" t="s">
        <v>171</v>
      </c>
      <c r="H7" s="44" t="s">
        <v>178</v>
      </c>
    </row>
    <row r="8" spans="2:8" ht="18" customHeight="1" x14ac:dyDescent="0.3">
      <c r="B8" s="7" t="s">
        <v>179</v>
      </c>
      <c r="C8" s="8">
        <v>480</v>
      </c>
      <c r="D8" s="8">
        <v>490</v>
      </c>
      <c r="E8" s="37">
        <f t="shared" si="0"/>
        <v>10</v>
      </c>
      <c r="F8" s="38">
        <f t="shared" si="1"/>
        <v>2.0833333333333332E-2</v>
      </c>
      <c r="G8" s="39" t="s">
        <v>180</v>
      </c>
      <c r="H8" s="40" t="s">
        <v>181</v>
      </c>
    </row>
    <row r="9" spans="2:8" ht="18" customHeight="1" x14ac:dyDescent="0.3">
      <c r="B9" s="7" t="s">
        <v>182</v>
      </c>
      <c r="C9" s="12">
        <v>950</v>
      </c>
      <c r="D9" s="12">
        <v>1120</v>
      </c>
      <c r="E9" s="41">
        <f t="shared" si="0"/>
        <v>170</v>
      </c>
      <c r="F9" s="42">
        <f t="shared" si="1"/>
        <v>0.17894736842105263</v>
      </c>
      <c r="G9" s="43" t="s">
        <v>180</v>
      </c>
      <c r="H9" s="44" t="s">
        <v>183</v>
      </c>
    </row>
    <row r="10" spans="2:8" ht="18" customHeight="1" x14ac:dyDescent="0.3">
      <c r="B10" s="7" t="s">
        <v>184</v>
      </c>
      <c r="C10" s="8">
        <v>620</v>
      </c>
      <c r="D10" s="8">
        <v>680</v>
      </c>
      <c r="E10" s="37">
        <f t="shared" si="0"/>
        <v>60</v>
      </c>
      <c r="F10" s="38">
        <f t="shared" si="1"/>
        <v>9.6774193548387094E-2</v>
      </c>
      <c r="G10" s="39" t="s">
        <v>180</v>
      </c>
      <c r="H10" s="40" t="s">
        <v>185</v>
      </c>
    </row>
    <row r="11" spans="2:8" ht="18" customHeight="1" x14ac:dyDescent="0.3">
      <c r="B11" s="7" t="s">
        <v>186</v>
      </c>
      <c r="C11" s="12">
        <v>1100</v>
      </c>
      <c r="D11" s="12">
        <v>1080</v>
      </c>
      <c r="E11" s="41">
        <f t="shared" si="0"/>
        <v>-20</v>
      </c>
      <c r="F11" s="42">
        <f t="shared" si="1"/>
        <v>-1.8181818181818181E-2</v>
      </c>
      <c r="G11" s="43" t="s">
        <v>180</v>
      </c>
      <c r="H11" s="44" t="s">
        <v>187</v>
      </c>
    </row>
    <row r="12" spans="2:8" ht="19.5" customHeight="1" x14ac:dyDescent="0.3">
      <c r="B12" s="7" t="s">
        <v>70</v>
      </c>
      <c r="C12" s="16">
        <f>SUM(C4:C11)</f>
        <v>9270</v>
      </c>
      <c r="D12" s="16">
        <f>SUM(D4:D11)</f>
        <v>9975</v>
      </c>
      <c r="E12" s="45">
        <f t="shared" si="0"/>
        <v>705</v>
      </c>
      <c r="F12" s="46">
        <f t="shared" si="1"/>
        <v>7.605177993527508E-2</v>
      </c>
      <c r="G12" s="17"/>
      <c r="H12" s="17"/>
    </row>
    <row r="14" spans="2:8" ht="19.5" customHeight="1" x14ac:dyDescent="0.3">
      <c r="B14" s="78" t="s">
        <v>188</v>
      </c>
      <c r="C14" s="78"/>
      <c r="D14" s="78"/>
      <c r="E14" s="78"/>
      <c r="F14" s="78"/>
      <c r="G14" s="78"/>
      <c r="H14" s="78"/>
    </row>
    <row r="15" spans="2:8" ht="18" customHeight="1" x14ac:dyDescent="0.3">
      <c r="B15" s="7" t="s">
        <v>189</v>
      </c>
      <c r="C15" s="74" t="s">
        <v>190</v>
      </c>
      <c r="D15" s="74"/>
      <c r="E15" s="74"/>
      <c r="F15" s="74"/>
      <c r="G15" s="74"/>
      <c r="H15" s="74"/>
    </row>
    <row r="16" spans="2:8" ht="18" customHeight="1" x14ac:dyDescent="0.3">
      <c r="B16" s="7" t="s">
        <v>191</v>
      </c>
      <c r="C16" s="73" t="s">
        <v>192</v>
      </c>
      <c r="D16" s="73"/>
      <c r="E16" s="73"/>
      <c r="F16" s="73"/>
      <c r="G16" s="73"/>
      <c r="H16" s="73"/>
    </row>
    <row r="17" spans="2:8" ht="18" customHeight="1" x14ac:dyDescent="0.3">
      <c r="B17" s="7" t="s">
        <v>193</v>
      </c>
      <c r="C17" s="74" t="s">
        <v>194</v>
      </c>
      <c r="D17" s="74"/>
      <c r="E17" s="74"/>
      <c r="F17" s="74"/>
      <c r="G17" s="74"/>
      <c r="H17" s="74"/>
    </row>
    <row r="18" spans="2:8" ht="18" customHeight="1" x14ac:dyDescent="0.3">
      <c r="B18" s="7" t="s">
        <v>195</v>
      </c>
      <c r="C18" s="73" t="s">
        <v>196</v>
      </c>
      <c r="D18" s="73"/>
      <c r="E18" s="73"/>
      <c r="F18" s="73"/>
      <c r="G18" s="73"/>
      <c r="H18" s="73"/>
    </row>
    <row r="19" spans="2:8" ht="18" customHeight="1" x14ac:dyDescent="0.3">
      <c r="B19" s="7" t="s">
        <v>197</v>
      </c>
      <c r="C19" s="74" t="s">
        <v>198</v>
      </c>
      <c r="D19" s="74"/>
      <c r="E19" s="74"/>
      <c r="F19" s="74"/>
      <c r="G19" s="74"/>
      <c r="H19" s="74"/>
    </row>
    <row r="20" spans="2:8" ht="18" customHeight="1" x14ac:dyDescent="0.3">
      <c r="B20" s="7" t="s">
        <v>199</v>
      </c>
      <c r="C20" s="73" t="s">
        <v>200</v>
      </c>
      <c r="D20" s="73"/>
      <c r="E20" s="73"/>
      <c r="F20" s="73"/>
      <c r="G20" s="73"/>
      <c r="H20" s="73"/>
    </row>
    <row r="21" spans="2:8" ht="18" customHeight="1" x14ac:dyDescent="0.3">
      <c r="B21" s="7" t="s">
        <v>201</v>
      </c>
      <c r="C21" s="74" t="s">
        <v>202</v>
      </c>
      <c r="D21" s="74"/>
      <c r="E21" s="74"/>
      <c r="F21" s="74"/>
      <c r="G21" s="74"/>
      <c r="H21" s="74"/>
    </row>
  </sheetData>
  <mergeCells count="10">
    <mergeCell ref="B1:H1"/>
    <mergeCell ref="B2:H2"/>
    <mergeCell ref="B14:H14"/>
    <mergeCell ref="C15:H15"/>
    <mergeCell ref="C16:H16"/>
    <mergeCell ref="C17:H17"/>
    <mergeCell ref="C18:H18"/>
    <mergeCell ref="C19:H19"/>
    <mergeCell ref="C20:H20"/>
    <mergeCell ref="C21:H2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40"/>
  <sheetViews>
    <sheetView showGridLines="0" zoomScaleNormal="100" workbookViewId="0">
      <selection activeCell="N12" sqref="N12"/>
    </sheetView>
  </sheetViews>
  <sheetFormatPr defaultColWidth="8.6640625" defaultRowHeight="14.4" x14ac:dyDescent="0.3"/>
  <cols>
    <col min="1" max="1" width="2" customWidth="1"/>
    <col min="2" max="2" width="18" customWidth="1"/>
    <col min="3" max="7" width="13" customWidth="1"/>
    <col min="8" max="8" width="14.33203125" customWidth="1"/>
    <col min="9" max="9" width="14.77734375" customWidth="1"/>
    <col min="10" max="10" width="2" customWidth="1"/>
  </cols>
  <sheetData>
    <row r="1" spans="2:9" ht="31.5" customHeight="1" x14ac:dyDescent="0.3">
      <c r="B1" s="75" t="s">
        <v>203</v>
      </c>
      <c r="C1" s="75"/>
      <c r="D1" s="75"/>
      <c r="E1" s="75"/>
      <c r="F1" s="75"/>
      <c r="G1" s="75"/>
      <c r="H1" s="75"/>
      <c r="I1" s="75"/>
    </row>
    <row r="3" spans="2:9" ht="21.75" customHeight="1" x14ac:dyDescent="0.3">
      <c r="B3" s="79" t="s">
        <v>204</v>
      </c>
      <c r="C3" s="79"/>
      <c r="D3" s="79"/>
      <c r="E3" s="79"/>
      <c r="F3" s="79"/>
      <c r="G3" s="79"/>
      <c r="H3" s="79"/>
      <c r="I3" s="79"/>
    </row>
    <row r="4" spans="2:9" ht="36" customHeight="1" x14ac:dyDescent="0.3">
      <c r="B4" s="6" t="s">
        <v>205</v>
      </c>
      <c r="C4" s="6" t="s">
        <v>206</v>
      </c>
      <c r="D4" s="6" t="s">
        <v>207</v>
      </c>
      <c r="E4" s="6" t="s">
        <v>208</v>
      </c>
      <c r="F4" s="6" t="s">
        <v>207</v>
      </c>
      <c r="G4" s="6" t="s">
        <v>209</v>
      </c>
      <c r="H4" s="81" t="s">
        <v>210</v>
      </c>
      <c r="I4" s="82"/>
    </row>
    <row r="5" spans="2:9" ht="18" customHeight="1" x14ac:dyDescent="0.3">
      <c r="B5" s="7" t="s">
        <v>211</v>
      </c>
      <c r="C5" s="8">
        <v>212564</v>
      </c>
      <c r="D5" s="11">
        <f>C5/SUM(C5:C8)</f>
        <v>0.61363209902916549</v>
      </c>
      <c r="E5" s="47">
        <v>61.48</v>
      </c>
      <c r="F5" s="11">
        <f>E5/SUM(E5:E8)</f>
        <v>0.66232870809273459</v>
      </c>
      <c r="G5" s="27">
        <f>IF(C5=0,"-",E5*1000000/C5)</f>
        <v>289.23053762631491</v>
      </c>
      <c r="H5" s="66" t="s">
        <v>212</v>
      </c>
      <c r="I5" s="27"/>
    </row>
    <row r="6" spans="2:9" ht="18" customHeight="1" x14ac:dyDescent="0.3">
      <c r="B6" s="7" t="s">
        <v>213</v>
      </c>
      <c r="C6" s="12">
        <v>97437</v>
      </c>
      <c r="D6" s="15">
        <f>C6/SUM(C5:C8)</f>
        <v>0.28128220598551396</v>
      </c>
      <c r="E6" s="48">
        <v>24.748999999999999</v>
      </c>
      <c r="F6" s="15">
        <f>E6/SUM(E5:E8)</f>
        <v>0.26662285615789022</v>
      </c>
      <c r="G6" s="28">
        <f>IF(C6=0,"-",E6*1000000/C6)</f>
        <v>254.00002052608352</v>
      </c>
      <c r="H6" s="67" t="s">
        <v>214</v>
      </c>
      <c r="I6" s="28"/>
    </row>
    <row r="7" spans="2:9" ht="18" customHeight="1" x14ac:dyDescent="0.3">
      <c r="B7" s="7" t="s">
        <v>215</v>
      </c>
      <c r="C7" s="8">
        <v>27902</v>
      </c>
      <c r="D7" s="11">
        <f>C7/SUM(C5:C8)</f>
        <v>8.0547801260381691E-2</v>
      </c>
      <c r="E7" s="47">
        <v>1.395</v>
      </c>
      <c r="F7" s="11">
        <f>E7/SUM(E5:E8)</f>
        <v>1.5028440920451608E-2</v>
      </c>
      <c r="G7" s="27">
        <f>IF(C7=0,"-",E7*1000000/C7)</f>
        <v>49.996416027524909</v>
      </c>
      <c r="H7" s="66" t="s">
        <v>216</v>
      </c>
      <c r="I7" s="27"/>
    </row>
    <row r="8" spans="2:9" ht="18" customHeight="1" x14ac:dyDescent="0.3">
      <c r="B8" s="7" t="s">
        <v>217</v>
      </c>
      <c r="C8" s="12">
        <v>8500</v>
      </c>
      <c r="D8" s="15">
        <f>C8/SUM(C5:C8)</f>
        <v>2.4537893724938871E-2</v>
      </c>
      <c r="E8" s="48">
        <v>5.2</v>
      </c>
      <c r="F8" s="15">
        <f>E8/SUM(E5:E8)</f>
        <v>5.6019994828923558E-2</v>
      </c>
      <c r="G8" s="28">
        <f>IF(C8=0,"-",E8*1000000/C8)</f>
        <v>611.76470588235293</v>
      </c>
      <c r="H8" s="67" t="s">
        <v>218</v>
      </c>
      <c r="I8" s="28"/>
    </row>
    <row r="9" spans="2:9" ht="19.5" customHeight="1" x14ac:dyDescent="0.3">
      <c r="B9" s="7" t="s">
        <v>70</v>
      </c>
      <c r="C9" s="16">
        <f>SUM(C5:C8)</f>
        <v>346403</v>
      </c>
      <c r="D9" s="19">
        <f>1</f>
        <v>1</v>
      </c>
      <c r="E9" s="49">
        <f>SUM(E5:E8)</f>
        <v>92.823999999999998</v>
      </c>
      <c r="F9" s="19">
        <f>1</f>
        <v>1</v>
      </c>
      <c r="G9" s="16">
        <f>IF(C9=0,"-",E9*1000000/C9)</f>
        <v>267.96534672043833</v>
      </c>
      <c r="H9" s="68"/>
      <c r="I9" s="16"/>
    </row>
    <row r="11" spans="2:9" ht="21.75" customHeight="1" x14ac:dyDescent="0.3">
      <c r="B11" s="77" t="s">
        <v>219</v>
      </c>
      <c r="C11" s="77"/>
      <c r="D11" s="77"/>
      <c r="E11" s="77"/>
      <c r="F11" s="77"/>
      <c r="G11" s="77"/>
      <c r="H11" s="77"/>
      <c r="I11" s="77"/>
    </row>
    <row r="12" spans="2:9" ht="18" customHeight="1" x14ac:dyDescent="0.3">
      <c r="B12" s="31" t="s">
        <v>220</v>
      </c>
      <c r="C12" s="31" t="s">
        <v>221</v>
      </c>
      <c r="D12" s="31" t="s">
        <v>222</v>
      </c>
      <c r="E12" s="31" t="s">
        <v>223</v>
      </c>
      <c r="F12" s="31" t="s">
        <v>224</v>
      </c>
      <c r="G12" s="31" t="s">
        <v>225</v>
      </c>
      <c r="H12" s="31" t="s">
        <v>226</v>
      </c>
      <c r="I12" s="31" t="s">
        <v>227</v>
      </c>
    </row>
    <row r="13" spans="2:9" ht="18" customHeight="1" x14ac:dyDescent="0.3">
      <c r="B13" s="7" t="s">
        <v>228</v>
      </c>
      <c r="C13" s="32">
        <v>0.09</v>
      </c>
      <c r="D13" s="32">
        <v>0.15</v>
      </c>
      <c r="E13" s="32">
        <v>0.23</v>
      </c>
      <c r="F13" s="32">
        <v>0.25</v>
      </c>
      <c r="G13" s="32">
        <v>0.16</v>
      </c>
      <c r="H13" s="32">
        <v>0.12</v>
      </c>
      <c r="I13" s="50">
        <f>SUM(C13:H13)</f>
        <v>1</v>
      </c>
    </row>
    <row r="15" spans="2:9" ht="33" customHeight="1" x14ac:dyDescent="0.3">
      <c r="B15" s="80" t="s">
        <v>229</v>
      </c>
      <c r="C15" s="80"/>
      <c r="D15" s="80"/>
      <c r="E15" s="80"/>
      <c r="F15" s="80"/>
    </row>
    <row r="16" spans="2:9" ht="18" customHeight="1" x14ac:dyDescent="0.3">
      <c r="B16" s="31" t="s">
        <v>230</v>
      </c>
      <c r="C16" s="31" t="s">
        <v>231</v>
      </c>
      <c r="D16" s="31" t="s">
        <v>232</v>
      </c>
      <c r="E16" s="31" t="s">
        <v>24</v>
      </c>
      <c r="F16" s="31" t="s">
        <v>228</v>
      </c>
    </row>
    <row r="17" spans="2:6" ht="15.75" customHeight="1" x14ac:dyDescent="0.3">
      <c r="B17" s="51" t="s">
        <v>233</v>
      </c>
      <c r="C17" s="39" t="s">
        <v>234</v>
      </c>
      <c r="D17" s="39" t="s">
        <v>235</v>
      </c>
      <c r="E17" s="39" t="s">
        <v>236</v>
      </c>
      <c r="F17" s="29">
        <v>0.02</v>
      </c>
    </row>
    <row r="18" spans="2:6" ht="15.75" customHeight="1" x14ac:dyDescent="0.3">
      <c r="B18" s="51" t="s">
        <v>233</v>
      </c>
      <c r="C18" s="43" t="s">
        <v>234</v>
      </c>
      <c r="D18" s="43" t="s">
        <v>235</v>
      </c>
      <c r="E18" s="43" t="s">
        <v>237</v>
      </c>
      <c r="F18" s="30">
        <v>0.04</v>
      </c>
    </row>
    <row r="19" spans="2:6" ht="15.75" customHeight="1" x14ac:dyDescent="0.3">
      <c r="B19" s="51" t="s">
        <v>233</v>
      </c>
      <c r="C19" s="39" t="s">
        <v>234</v>
      </c>
      <c r="D19" s="39" t="s">
        <v>235</v>
      </c>
      <c r="E19" s="39" t="s">
        <v>238</v>
      </c>
      <c r="F19" s="29">
        <v>0.04</v>
      </c>
    </row>
    <row r="20" spans="2:6" ht="15.75" customHeight="1" x14ac:dyDescent="0.3">
      <c r="B20" s="51" t="s">
        <v>233</v>
      </c>
      <c r="C20" s="43" t="s">
        <v>234</v>
      </c>
      <c r="D20" s="43" t="s">
        <v>239</v>
      </c>
      <c r="E20" s="43" t="s">
        <v>236</v>
      </c>
      <c r="F20" s="30">
        <v>0.01</v>
      </c>
    </row>
    <row r="21" spans="2:6" ht="15.75" customHeight="1" x14ac:dyDescent="0.3">
      <c r="B21" s="51" t="s">
        <v>233</v>
      </c>
      <c r="C21" s="39" t="s">
        <v>234</v>
      </c>
      <c r="D21" s="39" t="s">
        <v>239</v>
      </c>
      <c r="E21" s="39" t="s">
        <v>237</v>
      </c>
      <c r="F21" s="29">
        <v>0.05</v>
      </c>
    </row>
    <row r="22" spans="2:6" ht="15.75" customHeight="1" x14ac:dyDescent="0.3">
      <c r="B22" s="51" t="s">
        <v>233</v>
      </c>
      <c r="C22" s="43" t="s">
        <v>234</v>
      </c>
      <c r="D22" s="43" t="s">
        <v>239</v>
      </c>
      <c r="E22" s="43" t="s">
        <v>238</v>
      </c>
      <c r="F22" s="30">
        <v>0.03</v>
      </c>
    </row>
    <row r="23" spans="2:6" ht="15.75" customHeight="1" x14ac:dyDescent="0.3">
      <c r="B23" s="51" t="s">
        <v>233</v>
      </c>
      <c r="C23" s="39" t="s">
        <v>240</v>
      </c>
      <c r="D23" s="39" t="s">
        <v>235</v>
      </c>
      <c r="E23" s="39" t="s">
        <v>236</v>
      </c>
      <c r="F23" s="29">
        <v>0.01</v>
      </c>
    </row>
    <row r="24" spans="2:6" ht="15.75" customHeight="1" x14ac:dyDescent="0.3">
      <c r="B24" s="51" t="s">
        <v>233</v>
      </c>
      <c r="C24" s="43" t="s">
        <v>240</v>
      </c>
      <c r="D24" s="43" t="s">
        <v>235</v>
      </c>
      <c r="E24" s="43" t="s">
        <v>237</v>
      </c>
      <c r="F24" s="30">
        <v>0.05</v>
      </c>
    </row>
    <row r="25" spans="2:6" ht="15.75" customHeight="1" x14ac:dyDescent="0.3">
      <c r="B25" s="51" t="s">
        <v>233</v>
      </c>
      <c r="C25" s="39" t="s">
        <v>240</v>
      </c>
      <c r="D25" s="39" t="s">
        <v>235</v>
      </c>
      <c r="E25" s="39" t="s">
        <v>238</v>
      </c>
      <c r="F25" s="29">
        <v>0.04</v>
      </c>
    </row>
    <row r="26" spans="2:6" ht="15.75" customHeight="1" x14ac:dyDescent="0.3">
      <c r="B26" s="51" t="s">
        <v>233</v>
      </c>
      <c r="C26" s="43" t="s">
        <v>240</v>
      </c>
      <c r="D26" s="43" t="s">
        <v>239</v>
      </c>
      <c r="E26" s="43" t="s">
        <v>236</v>
      </c>
      <c r="F26" s="30">
        <v>0.01</v>
      </c>
    </row>
    <row r="27" spans="2:6" ht="15.75" customHeight="1" x14ac:dyDescent="0.3">
      <c r="B27" s="51" t="s">
        <v>233</v>
      </c>
      <c r="C27" s="39" t="s">
        <v>240</v>
      </c>
      <c r="D27" s="39" t="s">
        <v>239</v>
      </c>
      <c r="E27" s="39" t="s">
        <v>237</v>
      </c>
      <c r="F27" s="29">
        <v>7.0000000000000007E-2</v>
      </c>
    </row>
    <row r="28" spans="2:6" ht="15.75" customHeight="1" x14ac:dyDescent="0.3">
      <c r="B28" s="51" t="s">
        <v>233</v>
      </c>
      <c r="C28" s="43" t="s">
        <v>240</v>
      </c>
      <c r="D28" s="43" t="s">
        <v>239</v>
      </c>
      <c r="E28" s="43" t="s">
        <v>238</v>
      </c>
      <c r="F28" s="30">
        <v>0.04</v>
      </c>
    </row>
    <row r="29" spans="2:6" ht="15.75" customHeight="1" x14ac:dyDescent="0.3">
      <c r="B29" s="51" t="s">
        <v>241</v>
      </c>
      <c r="C29" s="39" t="s">
        <v>234</v>
      </c>
      <c r="D29" s="39" t="s">
        <v>235</v>
      </c>
      <c r="E29" s="39" t="s">
        <v>236</v>
      </c>
      <c r="F29" s="29">
        <v>0.02</v>
      </c>
    </row>
    <row r="30" spans="2:6" ht="15.75" customHeight="1" x14ac:dyDescent="0.3">
      <c r="B30" s="51" t="s">
        <v>241</v>
      </c>
      <c r="C30" s="43" t="s">
        <v>234</v>
      </c>
      <c r="D30" s="43" t="s">
        <v>235</v>
      </c>
      <c r="E30" s="43" t="s">
        <v>237</v>
      </c>
      <c r="F30" s="30">
        <v>0.05</v>
      </c>
    </row>
    <row r="31" spans="2:6" ht="15.75" customHeight="1" x14ac:dyDescent="0.3">
      <c r="B31" s="51" t="s">
        <v>241</v>
      </c>
      <c r="C31" s="39" t="s">
        <v>234</v>
      </c>
      <c r="D31" s="39" t="s">
        <v>235</v>
      </c>
      <c r="E31" s="39" t="s">
        <v>238</v>
      </c>
      <c r="F31" s="29">
        <v>0.05</v>
      </c>
    </row>
    <row r="32" spans="2:6" ht="15.75" customHeight="1" x14ac:dyDescent="0.3">
      <c r="B32" s="51" t="s">
        <v>241</v>
      </c>
      <c r="C32" s="43" t="s">
        <v>234</v>
      </c>
      <c r="D32" s="43" t="s">
        <v>239</v>
      </c>
      <c r="E32" s="43" t="s">
        <v>236</v>
      </c>
      <c r="F32" s="30">
        <v>0.01</v>
      </c>
    </row>
    <row r="33" spans="2:6" ht="15.75" customHeight="1" x14ac:dyDescent="0.3">
      <c r="B33" s="51" t="s">
        <v>241</v>
      </c>
      <c r="C33" s="39" t="s">
        <v>234</v>
      </c>
      <c r="D33" s="39" t="s">
        <v>239</v>
      </c>
      <c r="E33" s="39" t="s">
        <v>237</v>
      </c>
      <c r="F33" s="29">
        <v>0.05</v>
      </c>
    </row>
    <row r="34" spans="2:6" ht="15.75" customHeight="1" x14ac:dyDescent="0.3">
      <c r="B34" s="51" t="s">
        <v>241</v>
      </c>
      <c r="C34" s="43" t="s">
        <v>234</v>
      </c>
      <c r="D34" s="43" t="s">
        <v>239</v>
      </c>
      <c r="E34" s="43" t="s">
        <v>238</v>
      </c>
      <c r="F34" s="30">
        <v>0.03</v>
      </c>
    </row>
    <row r="35" spans="2:6" ht="15.75" customHeight="1" x14ac:dyDescent="0.3">
      <c r="B35" s="51" t="s">
        <v>241</v>
      </c>
      <c r="C35" s="39" t="s">
        <v>240</v>
      </c>
      <c r="D35" s="39" t="s">
        <v>235</v>
      </c>
      <c r="E35" s="39" t="s">
        <v>236</v>
      </c>
      <c r="F35" s="29">
        <v>0</v>
      </c>
    </row>
    <row r="36" spans="2:6" ht="15.75" customHeight="1" x14ac:dyDescent="0.3">
      <c r="B36" s="51" t="s">
        <v>241</v>
      </c>
      <c r="C36" s="43" t="s">
        <v>240</v>
      </c>
      <c r="D36" s="43" t="s">
        <v>235</v>
      </c>
      <c r="E36" s="43" t="s">
        <v>237</v>
      </c>
      <c r="F36" s="30">
        <v>0.06</v>
      </c>
    </row>
    <row r="37" spans="2:6" ht="15.75" customHeight="1" x14ac:dyDescent="0.3">
      <c r="B37" s="51" t="s">
        <v>241</v>
      </c>
      <c r="C37" s="39" t="s">
        <v>240</v>
      </c>
      <c r="D37" s="39" t="s">
        <v>235</v>
      </c>
      <c r="E37" s="39" t="s">
        <v>238</v>
      </c>
      <c r="F37" s="29">
        <v>0.04</v>
      </c>
    </row>
    <row r="38" spans="2:6" ht="15.75" customHeight="1" x14ac:dyDescent="0.3">
      <c r="B38" s="51" t="s">
        <v>241</v>
      </c>
      <c r="C38" s="43" t="s">
        <v>240</v>
      </c>
      <c r="D38" s="43" t="s">
        <v>239</v>
      </c>
      <c r="E38" s="43" t="s">
        <v>236</v>
      </c>
      <c r="F38" s="30">
        <v>0</v>
      </c>
    </row>
    <row r="39" spans="2:6" ht="15.75" customHeight="1" x14ac:dyDescent="0.3">
      <c r="B39" s="51" t="s">
        <v>241</v>
      </c>
      <c r="C39" s="39" t="s">
        <v>240</v>
      </c>
      <c r="D39" s="39" t="s">
        <v>239</v>
      </c>
      <c r="E39" s="39" t="s">
        <v>237</v>
      </c>
      <c r="F39" s="29">
        <v>0.06</v>
      </c>
    </row>
    <row r="40" spans="2:6" ht="15.75" customHeight="1" x14ac:dyDescent="0.3">
      <c r="B40" s="51" t="s">
        <v>241</v>
      </c>
      <c r="C40" s="43" t="s">
        <v>240</v>
      </c>
      <c r="D40" s="43" t="s">
        <v>239</v>
      </c>
      <c r="E40" s="43" t="s">
        <v>238</v>
      </c>
      <c r="F40" s="30">
        <v>0.04</v>
      </c>
    </row>
  </sheetData>
  <mergeCells count="5">
    <mergeCell ref="B1:I1"/>
    <mergeCell ref="B3:I3"/>
    <mergeCell ref="B11:I11"/>
    <mergeCell ref="B15:F15"/>
    <mergeCell ref="H4:I4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N22"/>
  <sheetViews>
    <sheetView showGridLines="0" zoomScaleNormal="100" workbookViewId="0"/>
  </sheetViews>
  <sheetFormatPr defaultColWidth="8.6640625" defaultRowHeight="14.4" x14ac:dyDescent="0.3"/>
  <cols>
    <col min="1" max="1" width="2" customWidth="1"/>
    <col min="2" max="2" width="18" customWidth="1"/>
    <col min="3" max="14" width="8" customWidth="1"/>
  </cols>
  <sheetData>
    <row r="1" spans="2:14" ht="31.5" customHeight="1" x14ac:dyDescent="0.3">
      <c r="B1" s="75" t="s">
        <v>242</v>
      </c>
      <c r="C1" s="75"/>
      <c r="D1" s="75"/>
      <c r="E1" s="75"/>
      <c r="F1" s="75"/>
      <c r="G1" s="75"/>
      <c r="H1" s="75"/>
      <c r="I1" s="75"/>
    </row>
    <row r="3" spans="2:14" ht="21.75" customHeight="1" x14ac:dyDescent="0.3">
      <c r="B3" s="77" t="s">
        <v>243</v>
      </c>
      <c r="C3" s="77"/>
      <c r="D3" s="77"/>
      <c r="E3" s="77"/>
      <c r="F3" s="77"/>
      <c r="G3" s="77"/>
      <c r="H3" s="77"/>
      <c r="I3" s="77"/>
    </row>
    <row r="4" spans="2:14" ht="36" customHeight="1" x14ac:dyDescent="0.3">
      <c r="B4" s="6" t="s">
        <v>244</v>
      </c>
      <c r="C4" s="6" t="s">
        <v>245</v>
      </c>
      <c r="D4" s="6" t="s">
        <v>246</v>
      </c>
      <c r="E4" s="6" t="s">
        <v>247</v>
      </c>
      <c r="F4" s="6" t="s">
        <v>248</v>
      </c>
      <c r="G4" s="6" t="s">
        <v>249</v>
      </c>
      <c r="H4" s="6" t="s">
        <v>250</v>
      </c>
    </row>
    <row r="5" spans="2:14" ht="21.75" customHeight="1" x14ac:dyDescent="0.3">
      <c r="B5" s="52">
        <v>1</v>
      </c>
      <c r="C5" s="53" t="s">
        <v>251</v>
      </c>
      <c r="D5" s="54" t="s">
        <v>252</v>
      </c>
      <c r="E5" s="54" t="s">
        <v>253</v>
      </c>
      <c r="F5" s="54" t="s">
        <v>252</v>
      </c>
      <c r="G5" s="53" t="s">
        <v>254</v>
      </c>
      <c r="H5" s="53" t="s">
        <v>255</v>
      </c>
    </row>
    <row r="6" spans="2:14" ht="21.75" customHeight="1" x14ac:dyDescent="0.3">
      <c r="B6" s="55">
        <v>2</v>
      </c>
      <c r="C6" s="56" t="s">
        <v>256</v>
      </c>
      <c r="D6" s="57" t="s">
        <v>257</v>
      </c>
      <c r="E6" s="57" t="s">
        <v>258</v>
      </c>
      <c r="F6" s="57" t="s">
        <v>259</v>
      </c>
      <c r="G6" s="56" t="s">
        <v>260</v>
      </c>
      <c r="H6" s="56" t="s">
        <v>261</v>
      </c>
    </row>
    <row r="7" spans="2:14" ht="21.75" customHeight="1" x14ac:dyDescent="0.3">
      <c r="B7" s="58">
        <v>3</v>
      </c>
      <c r="C7" s="59" t="s">
        <v>262</v>
      </c>
      <c r="D7" s="60" t="s">
        <v>253</v>
      </c>
      <c r="E7" s="60" t="s">
        <v>263</v>
      </c>
      <c r="F7" s="60" t="s">
        <v>264</v>
      </c>
      <c r="G7" s="59" t="s">
        <v>265</v>
      </c>
      <c r="H7" s="59" t="s">
        <v>266</v>
      </c>
    </row>
    <row r="8" spans="2:14" ht="21.75" customHeight="1" x14ac:dyDescent="0.3">
      <c r="B8" s="61">
        <v>4</v>
      </c>
      <c r="C8" s="62" t="s">
        <v>267</v>
      </c>
      <c r="D8" s="63" t="s">
        <v>258</v>
      </c>
      <c r="E8" s="63" t="s">
        <v>257</v>
      </c>
      <c r="F8" s="63" t="s">
        <v>268</v>
      </c>
      <c r="G8" s="62" t="s">
        <v>269</v>
      </c>
      <c r="H8" s="62" t="s">
        <v>270</v>
      </c>
    </row>
    <row r="10" spans="2:14" ht="21.75" customHeight="1" x14ac:dyDescent="0.3">
      <c r="B10" s="77" t="s">
        <v>271</v>
      </c>
      <c r="C10" s="77"/>
      <c r="D10" s="77"/>
      <c r="E10" s="77"/>
      <c r="F10" s="77"/>
      <c r="G10" s="77"/>
      <c r="H10" s="77"/>
      <c r="I10" s="77"/>
    </row>
    <row r="11" spans="2:14" ht="18" customHeight="1" x14ac:dyDescent="0.3">
      <c r="B11" s="31" t="s">
        <v>272</v>
      </c>
      <c r="C11" s="31" t="s">
        <v>273</v>
      </c>
      <c r="D11" s="31" t="s">
        <v>274</v>
      </c>
      <c r="E11" s="31" t="s">
        <v>275</v>
      </c>
      <c r="F11" s="31" t="s">
        <v>276</v>
      </c>
      <c r="G11" s="31" t="s">
        <v>277</v>
      </c>
      <c r="H11" s="31" t="s">
        <v>278</v>
      </c>
      <c r="I11" s="31" t="s">
        <v>279</v>
      </c>
      <c r="J11" s="31" t="s">
        <v>280</v>
      </c>
      <c r="K11" s="31" t="s">
        <v>281</v>
      </c>
      <c r="L11" s="31" t="s">
        <v>282</v>
      </c>
      <c r="M11" s="31" t="s">
        <v>283</v>
      </c>
      <c r="N11" s="31" t="s">
        <v>284</v>
      </c>
    </row>
    <row r="12" spans="2:14" ht="18" customHeight="1" x14ac:dyDescent="0.3">
      <c r="B12" s="7" t="s">
        <v>285</v>
      </c>
      <c r="C12" s="64">
        <v>100</v>
      </c>
      <c r="D12" s="64">
        <v>95</v>
      </c>
      <c r="E12" s="64">
        <v>88</v>
      </c>
      <c r="F12" s="64">
        <v>80</v>
      </c>
      <c r="G12" s="64">
        <v>75</v>
      </c>
      <c r="H12" s="64">
        <v>78</v>
      </c>
      <c r="I12" s="64">
        <v>85</v>
      </c>
      <c r="J12" s="64">
        <v>95</v>
      </c>
      <c r="K12" s="64">
        <v>105</v>
      </c>
      <c r="L12" s="64">
        <v>110</v>
      </c>
      <c r="M12" s="64">
        <v>108</v>
      </c>
      <c r="N12" s="64">
        <v>100</v>
      </c>
    </row>
    <row r="13" spans="2:14" ht="18" customHeight="1" x14ac:dyDescent="0.3">
      <c r="B13" s="7" t="s">
        <v>286</v>
      </c>
      <c r="C13" s="65">
        <v>1</v>
      </c>
      <c r="D13" s="65">
        <v>1</v>
      </c>
      <c r="E13" s="65">
        <v>2</v>
      </c>
      <c r="F13" s="65">
        <v>2</v>
      </c>
      <c r="G13" s="65">
        <v>3</v>
      </c>
      <c r="H13" s="65">
        <v>3</v>
      </c>
      <c r="I13" s="65">
        <v>4</v>
      </c>
      <c r="J13" s="65">
        <v>4</v>
      </c>
      <c r="K13" s="65">
        <v>1</v>
      </c>
      <c r="L13" s="65">
        <v>1</v>
      </c>
      <c r="M13" s="65">
        <v>2</v>
      </c>
      <c r="N13" s="65">
        <v>2</v>
      </c>
    </row>
    <row r="15" spans="2:14" ht="19.5" customHeight="1" x14ac:dyDescent="0.3">
      <c r="B15" s="78" t="s">
        <v>287</v>
      </c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</row>
    <row r="16" spans="2:14" ht="18" customHeight="1" x14ac:dyDescent="0.3">
      <c r="B16" s="7" t="s">
        <v>288</v>
      </c>
      <c r="C16" s="74" t="s">
        <v>289</v>
      </c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</row>
    <row r="17" spans="2:14" ht="18" customHeight="1" x14ac:dyDescent="0.3">
      <c r="B17" s="7" t="s">
        <v>290</v>
      </c>
      <c r="C17" s="73" t="s">
        <v>291</v>
      </c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</row>
    <row r="18" spans="2:14" ht="18" customHeight="1" x14ac:dyDescent="0.3">
      <c r="B18" s="7" t="s">
        <v>292</v>
      </c>
      <c r="C18" s="74" t="s">
        <v>293</v>
      </c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</row>
    <row r="19" spans="2:14" ht="18" customHeight="1" x14ac:dyDescent="0.3">
      <c r="B19" s="7" t="s">
        <v>294</v>
      </c>
      <c r="C19" s="73" t="s">
        <v>295</v>
      </c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</row>
    <row r="20" spans="2:14" ht="18" customHeight="1" x14ac:dyDescent="0.3">
      <c r="B20" s="7" t="s">
        <v>296</v>
      </c>
      <c r="C20" s="74" t="s">
        <v>297</v>
      </c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</row>
    <row r="21" spans="2:14" ht="18" customHeight="1" x14ac:dyDescent="0.3">
      <c r="B21" s="7" t="s">
        <v>298</v>
      </c>
      <c r="C21" s="73" t="s">
        <v>299</v>
      </c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</row>
    <row r="22" spans="2:14" ht="18" customHeight="1" x14ac:dyDescent="0.3">
      <c r="B22" s="7" t="s">
        <v>300</v>
      </c>
      <c r="C22" s="74" t="s">
        <v>301</v>
      </c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</row>
  </sheetData>
  <mergeCells count="11">
    <mergeCell ref="B1:I1"/>
    <mergeCell ref="B3:I3"/>
    <mergeCell ref="B10:I10"/>
    <mergeCell ref="B15:N15"/>
    <mergeCell ref="C16:N16"/>
    <mergeCell ref="C22:N22"/>
    <mergeCell ref="C17:N17"/>
    <mergeCell ref="C18:N18"/>
    <mergeCell ref="C19:N19"/>
    <mergeCell ref="C20:N20"/>
    <mergeCell ref="C21:N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Morbidity Analysis</vt:lpstr>
      <vt:lpstr>Mortality Analysis</vt:lpstr>
      <vt:lpstr>Claim Amount</vt:lpstr>
      <vt:lpstr>Lapse &amp; Movement</vt:lpstr>
      <vt:lpstr>Expense Analysis</vt:lpstr>
      <vt:lpstr>Portfolio Analysis</vt:lpstr>
      <vt:lpstr>Insurance Cycle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Girish Rao</cp:lastModifiedBy>
  <cp:revision>0</cp:revision>
  <dcterms:created xsi:type="dcterms:W3CDTF">2026-04-16T16:27:44Z</dcterms:created>
  <dcterms:modified xsi:type="dcterms:W3CDTF">2026-04-18T04:15:48Z</dcterms:modified>
  <dc:language>en-US</dc:language>
</cp:coreProperties>
</file>