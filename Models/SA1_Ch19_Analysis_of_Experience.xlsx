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orbidity Analysis" sheetId="2" state="visible" r:id="rId4"/>
    <sheet name="Mortality Analysis" sheetId="3" state="visible" r:id="rId5"/>
    <sheet name="Claim Amount" sheetId="4" state="visible" r:id="rId6"/>
    <sheet name="Lapse &amp; Movement" sheetId="5" state="visible" r:id="rId7"/>
    <sheet name="Expense Analysis" sheetId="6" state="visible" r:id="rId8"/>
    <sheet name="Portfolio Analysis" sheetId="7" state="visible" r:id="rId9"/>
    <sheet name="Insurance Cycl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<sst xmlns="http://schemas.openxmlformats.org/spreadsheetml/2006/main" count="422" uniqueCount="302">
  <si>
    <t xml:space="preserve">Analysis of Experience – SA1 Chapter 19
Dummy Model for Study Purposes</t>
  </si>
  <si>
    <t xml:space="preserve">This workbook illustrates the key analyses a health &amp; care actuary performs under SA1 Ch.19</t>
  </si>
  <si>
    <t xml:space="preserve">WORKBOOK CONTENTS</t>
  </si>
  <si>
    <t xml:space="preserve">#</t>
  </si>
  <si>
    <t xml:space="preserve">Sheet</t>
  </si>
  <si>
    <t xml:space="preserve">Purpose</t>
  </si>
  <si>
    <t xml:space="preserve">Morbidity Analysis</t>
  </si>
  <si>
    <t xml:space="preserve">Incidence A/E by product (IP, CI, PMI, LTCI)</t>
  </si>
  <si>
    <t xml:space="preserve">Mortality Analysis</t>
  </si>
  <si>
    <t xml:space="preserve">A/E vs expected deaths; SMR calculation</t>
  </si>
  <si>
    <t xml:space="preserve">Claim Amount</t>
  </si>
  <si>
    <t xml:space="preserve">Average claim size; loss ratio; IBNR/RBNS</t>
  </si>
  <si>
    <t xml:space="preserve">Lapse &amp; Movement</t>
  </si>
  <si>
    <t xml:space="preserve">Lapse rate calc with processing-delay adjustment</t>
  </si>
  <si>
    <t xml:space="preserve">Expense Analysis</t>
  </si>
  <si>
    <t xml:space="preserve">Direct vs overhead; actual vs budget</t>
  </si>
  <si>
    <t xml:space="preserve">Portfolio Analysis</t>
  </si>
  <si>
    <t xml:space="preserve">Single-factor &amp; multi-factor risk-group tables</t>
  </si>
  <si>
    <t xml:space="preserve">Insurance Cycle</t>
  </si>
  <si>
    <t xml:space="preserve">Phase tracker and premium-rate trend chart</t>
  </si>
  <si>
    <t xml:space="preserve">Blue cells = hard-coded inputs you can change  |  Black cells = formulas  |  This model is illustrative; figures are fictional.</t>
  </si>
  <si>
    <t xml:space="preserve">Morbidity Analysis – Actual vs Expected Incidence Rates</t>
  </si>
  <si>
    <t xml:space="preserve">Blue = input  |  Black = formula  |  A/E &gt; 110% shown in amber; &gt; 130% in red</t>
  </si>
  <si>
    <t xml:space="preserve">SECTION A  –  Income Protection (IP) Insurance</t>
  </si>
  <si>
    <t xml:space="preserve">Age Band</t>
  </si>
  <si>
    <t xml:space="preserve">Exposed to Risk
(person-years)</t>
  </si>
  <si>
    <t xml:space="preserve">Expected
Incidence Rate</t>
  </si>
  <si>
    <t xml:space="preserve">Expected
Claims</t>
  </si>
  <si>
    <t xml:space="preserve">Actual
Claims</t>
  </si>
  <si>
    <t xml:space="preserve">A/E Ratio</t>
  </si>
  <si>
    <t xml:space="preserve">95% CI Lower</t>
  </si>
  <si>
    <t xml:space="preserve">95% CI Upper</t>
  </si>
  <si>
    <t xml:space="preserve">18-29</t>
  </si>
  <si>
    <t xml:space="preserve">30-39</t>
  </si>
  <si>
    <t xml:space="preserve">40-49</t>
  </si>
  <si>
    <t xml:space="preserve">50-59</t>
  </si>
  <si>
    <t xml:space="preserve">60-64</t>
  </si>
  <si>
    <t xml:space="preserve">TOTAL / WEIGHTED AVG</t>
  </si>
  <si>
    <t xml:space="preserve">SECTION B  –  Critical Illness (CI) Insurance</t>
  </si>
  <si>
    <t xml:space="preserve">KEY INTERPRETATION NOTES (from SA1 Ch.19)</t>
  </si>
  <si>
    <t xml:space="preserve">Frequency</t>
  </si>
  <si>
    <t xml:space="preserve">Analyse IP/CI quarterly; PMI monthly; LTCI half-yearly</t>
  </si>
  <si>
    <t xml:space="preserve">Sub-divisions</t>
  </si>
  <si>
    <t xml:space="preserve">Split data by: age, gender, occupation, region, deferred period, sales channel</t>
  </si>
  <si>
    <t xml:space="preserve">A/E &gt; 100%</t>
  </si>
  <si>
    <t xml:space="preserve">Actual exceeds expected → adverse experience; review pricing assumptions</t>
  </si>
  <si>
    <t xml:space="preserve">A/E 110–130%</t>
  </si>
  <si>
    <t xml:space="preserve">Amber zone – monitor closely; possible anti-selection or emerging trend</t>
  </si>
  <si>
    <t xml:space="preserve">A/E &gt; 130%</t>
  </si>
  <si>
    <t xml:space="preserve">Red zone – immediate investigation required; consider repricing</t>
  </si>
  <si>
    <t xml:space="preserve">IP Recovery</t>
  </si>
  <si>
    <t xml:space="preserve">Analyse recovery rates by: duration, age, gender, incapacity, replacement ratio</t>
  </si>
  <si>
    <t xml:space="preserve">CI True Cause</t>
  </si>
  <si>
    <t xml:space="preserve">Record cause carefully; HIV/co-morbidity complications can obscure true trigger</t>
  </si>
  <si>
    <t xml:space="preserve">Seasonality</t>
  </si>
  <si>
    <t xml:space="preserve">Allow for seasonal peaks; IP claims surge after late-winter peak (+deferred period)</t>
  </si>
  <si>
    <t xml:space="preserve">Mortality Analysis – Standardised Mortality Ratio (SMR)</t>
  </si>
  <si>
    <t xml:space="preserve">Product scope: Long-Term Care Insurance (LTCI) pre-funded portfolio  |  Investigation period: 1 Jan–31 Dec</t>
  </si>
  <si>
    <t xml:space="preserve">SECTION A  –  LTCI  (Pre-funded contracts)  |  Comparison against AM92 Ultimate</t>
  </si>
  <si>
    <t xml:space="preserve">Central Exposed
to Risk (Ec)</t>
  </si>
  <si>
    <t xml:space="preserve">Standard Table
Rate (q_x)</t>
  </si>
  <si>
    <t xml:space="preserve">Expected
Deaths (E)</t>
  </si>
  <si>
    <t xml:space="preserve">Actual
Deaths (A)</t>
  </si>
  <si>
    <t xml:space="preserve">SMR
(A/E × 100)</t>
  </si>
  <si>
    <t xml:space="preserve">95% CI
(Byar's approx)</t>
  </si>
  <si>
    <t xml:space="preserve">65-69</t>
  </si>
  <si>
    <t xml:space="preserve">70-74</t>
  </si>
  <si>
    <t xml:space="preserve">75-79</t>
  </si>
  <si>
    <t xml:space="preserve">80-84</t>
  </si>
  <si>
    <t xml:space="preserve">85+</t>
  </si>
  <si>
    <t xml:space="preserve">TOTAL</t>
  </si>
  <si>
    <t xml:space="preserve">INTERPRETATION NOTES</t>
  </si>
  <si>
    <t xml:space="preserve">SMR = 100</t>
  </si>
  <si>
    <t xml:space="preserve">Actual mortality = expected (perfectly on pricing basis)</t>
  </si>
  <si>
    <t xml:space="preserve">SMR &lt; 100</t>
  </si>
  <si>
    <t xml:space="preserve">Better (lower) mortality than expected → releases reserve for LTCI annuities</t>
  </si>
  <si>
    <t xml:space="preserve">SMR &gt; 100</t>
  </si>
  <si>
    <t xml:space="preserve">Worse mortality → adverse for IP claimants (shorter recovery); check credibility</t>
  </si>
  <si>
    <t xml:space="preserve">LTCI release</t>
  </si>
  <si>
    <t xml:space="preserve">Death = reserve release for LTCI (insurer gains); mortality is a release decrement</t>
  </si>
  <si>
    <t xml:space="preserve">IP in claim</t>
  </si>
  <si>
    <t xml:space="preserve">Death of claimant while on IP claim → benefit ceases; mortality in-claim tracked separately</t>
  </si>
  <si>
    <t xml:space="preserve">CI death</t>
  </si>
  <si>
    <t xml:space="preserve">Stand-alone CI: death releases small reserves; accelerated CI: death triggers full benefit</t>
  </si>
  <si>
    <t xml:space="preserve">Data quality</t>
  </si>
  <si>
    <t xml:space="preserve">Adjust for non-reported deaths; ensure correspondence between numerator and denominator</t>
  </si>
  <si>
    <t xml:space="preserve">Credibility</t>
  </si>
  <si>
    <t xml:space="preserve">Pool data with CMI for small portfolios; compare SMR against industry benchmark</t>
  </si>
  <si>
    <t xml:space="preserve">Claim Amount Analysis – Loss Ratio, IBNR &amp; RBNS</t>
  </si>
  <si>
    <t xml:space="preserve">SECTION A  –  PMI Loss Ratio by Policy Class</t>
  </si>
  <si>
    <t xml:space="preserve">Policy Class</t>
  </si>
  <si>
    <t xml:space="preserve">Earned Premium
(£000s)</t>
  </si>
  <si>
    <t xml:space="preserve">Paid Claims
(£000s)</t>
  </si>
  <si>
    <t xml:space="preserve">IBNR Reserve
(£000s)</t>
  </si>
  <si>
    <t xml:space="preserve">Ultimate Claims
(£000s)</t>
  </si>
  <si>
    <t xml:space="preserve">Loss Ratio
(Ult/Prem)</t>
  </si>
  <si>
    <t xml:space="preserve">Individual – Standard</t>
  </si>
  <si>
    <t xml:space="preserve">Individual – Prestige</t>
  </si>
  <si>
    <t xml:space="preserve">Group – SME</t>
  </si>
  <si>
    <t xml:space="preserve">Group – Corporate</t>
  </si>
  <si>
    <t xml:space="preserve">Health Cash Plan</t>
  </si>
  <si>
    <t xml:space="preserve">SECTION B  –  RBNS Development (CI Portfolio)  |  UK benchmark: 50% RBNS at year-end, 10% one year later</t>
  </si>
  <si>
    <t xml:space="preserve">Claim Year</t>
  </si>
  <si>
    <t xml:space="preserve">Ultimate
Claims (£000s)</t>
  </si>
  <si>
    <t xml:space="preserve">% RBNS at
Year-End</t>
  </si>
  <si>
    <t xml:space="preserve">RBNS at Year-End
(£000s)</t>
  </si>
  <si>
    <t xml:space="preserve">% RBNS after
1 Year</t>
  </si>
  <si>
    <t xml:space="preserve">Residual RBNS
(£000s)</t>
  </si>
  <si>
    <t xml:space="preserve">KEY NOTES</t>
  </si>
  <si>
    <t xml:space="preserve">Loss Ratio</t>
  </si>
  <si>
    <t xml:space="preserve">Claims ÷ Premium; ratio &gt;100% = underwriting loss (but may still be profitable with investment income)</t>
  </si>
  <si>
    <t xml:space="preserve">IBNR</t>
  </si>
  <si>
    <t xml:space="preserve">Incurred But Not Reported: policyholder unaware of cover or too ill to claim immediately</t>
  </si>
  <si>
    <t xml:space="preserve">RBNS</t>
  </si>
  <si>
    <t xml:space="preserve">Reported But Not Settled: awaiting verification; 30-day survival clause on CI causes delays</t>
  </si>
  <si>
    <t xml:space="preserve">Under-reserve</t>
  </si>
  <si>
    <t xml:space="preserve">CI portfolios historically under-reserved; expanding market + simplistic allowance = risk</t>
  </si>
  <si>
    <t xml:space="preserve">Anti-select.</t>
  </si>
  <si>
    <t xml:space="preserve">High A/E at £99k sum insured → customers circumventing the £100k medical exam trigger</t>
  </si>
  <si>
    <t xml:space="preserve">Inflation</t>
  </si>
  <si>
    <t xml:space="preserve">Monitor average claim size trend; new drugs/procedures can shift cost up or down significantly</t>
  </si>
  <si>
    <t xml:space="preserve">Lapse &amp; Movement Analysis – Processing Delay Adjustment</t>
  </si>
  <si>
    <t xml:space="preserve">SECTION A  –  Processing Delay Pattern (% of lapses processed by end of month)</t>
  </si>
  <si>
    <t xml:space="preserve">Delay Pattern (cumulative)</t>
  </si>
  <si>
    <t xml:space="preserve">Month 0</t>
  </si>
  <si>
    <t xml:space="preserve">Month 1</t>
  </si>
  <si>
    <t xml:space="preserve">Month 2</t>
  </si>
  <si>
    <t xml:space="preserve">Month 3</t>
  </si>
  <si>
    <t xml:space="preserve">Month 4</t>
  </si>
  <si>
    <t xml:space="preserve">Assumed %</t>
  </si>
  <si>
    <t xml:space="preserve">SECTION B  –  Monthly Lapse Data (analysis at start of June; months Sep–May)</t>
  </si>
  <si>
    <t xml:space="preserve">Month</t>
  </si>
  <si>
    <t xml:space="preserve">Renewals
Invited</t>
  </si>
  <si>
    <t xml:space="preserve">Lapses
Processed</t>
  </si>
  <si>
    <t xml:space="preserve">Delay Dev.
Month</t>
  </si>
  <si>
    <t xml:space="preserve">Delay %
(cumulative)</t>
  </si>
  <si>
    <t xml:space="preserve">Est. Total
Lapses</t>
  </si>
  <si>
    <t xml:space="preserve">Lapse
Rate</t>
  </si>
  <si>
    <t xml:space="preserve">Sep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</si>
  <si>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</si>
  <si>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</si>
  <si>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</si>
  <si>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</si>
  <si>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</si>
  <si>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</si>
  <si>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</si>
  <si>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</si>
  <si>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Formula</t>
  </si>
  <si>
    <t xml:space="preserve">Lapse rate = Lapses processed ÷ Renewals invited (for short-term business)</t>
  </si>
  <si>
    <t xml:space="preserve">Delay adjust</t>
  </si>
  <si>
    <t xml:space="preserve">Divide processed lapses by cumulative % to estimate ultimate lapses for recent months</t>
  </si>
  <si>
    <t xml:space="preserve">Sudden jump</t>
  </si>
  <si>
    <t xml:space="preserve">If Feb onwards shows higher lapse rate, check: (a) change in processing speed; (b) competitor rate cut</t>
  </si>
  <si>
    <t xml:space="preserve">Portfolio</t>
  </si>
  <si>
    <t xml:space="preserve">If lapse rate &gt; new business rate → portfolio contracting; investigate by distribution channel</t>
  </si>
  <si>
    <t xml:space="preserve">Long-term</t>
  </si>
  <si>
    <t xml:space="preserve">Long-term business: express lapses vs exposed-to-risk; focus on duration-from-entry</t>
  </si>
  <si>
    <t xml:space="preserve">Mid-term</t>
  </si>
  <si>
    <t xml:space="preserve">Mid-term cancellation rate = cancellations ÷ mean in-force policies (analogous to m-type rate)</t>
  </si>
  <si>
    <t xml:space="preserve">Non-death</t>
  </si>
  <si>
    <t xml:space="preserve">Attempt to verify whether a lapse is genuine or an unreported death (affects mortality exposure)</t>
  </si>
  <si>
    <t xml:space="preserve">Expense Analysis – Actual vs Budget</t>
  </si>
  <si>
    <t xml:space="preserve">SECTION A  –  Non-Commission Expense Analysis by Type (Annual)</t>
  </si>
  <si>
    <t xml:space="preserve">Expense Type</t>
  </si>
  <si>
    <t xml:space="preserve">Budget
(£000s)</t>
  </si>
  <si>
    <t xml:space="preserve">Actual
(£000s)</t>
  </si>
  <si>
    <t xml:space="preserve">Variance
(£000s)</t>
  </si>
  <si>
    <t xml:space="preserve">Variance
(%  of Budget)</t>
  </si>
  <si>
    <t xml:space="preserve">Fixed /
Variable</t>
  </si>
  <si>
    <t xml:space="preserve">Driver</t>
  </si>
  <si>
    <t xml:space="preserve">Initial – New Business</t>
  </si>
  <si>
    <t xml:space="preserve">Variable</t>
  </si>
  <si>
    <t xml:space="preserve">New policies written</t>
  </si>
  <si>
    <t xml:space="preserve">Renewal – Maintenance</t>
  </si>
  <si>
    <t xml:space="preserve">In-force policy count</t>
  </si>
  <si>
    <t xml:space="preserve">Claims Handling</t>
  </si>
  <si>
    <t xml:space="preserve">Number / size of claims</t>
  </si>
  <si>
    <t xml:space="preserve">Termination</t>
  </si>
  <si>
    <t xml:space="preserve">Lapses + deaths + cancellations</t>
  </si>
  <si>
    <t xml:space="preserve">Investment Management</t>
  </si>
  <si>
    <t xml:space="preserve">Fixed</t>
  </si>
  <si>
    <t xml:space="preserve">Assets under management</t>
  </si>
  <si>
    <t xml:space="preserve">IT &amp; Systems</t>
  </si>
  <si>
    <t xml:space="preserve">Overheads – step-change</t>
  </si>
  <si>
    <t xml:space="preserve">Actuarial &amp; Compliance</t>
  </si>
  <si>
    <t xml:space="preserve">Regulatory requirements</t>
  </si>
  <si>
    <t xml:space="preserve">General Management</t>
  </si>
  <si>
    <t xml:space="preserve">Corporate overhead</t>
  </si>
  <si>
    <t xml:space="preserve">SECTION B  –  Inflation &amp; Interpretation Notes</t>
  </si>
  <si>
    <t xml:space="preserve">Direct expenses</t>
  </si>
  <si>
    <t xml:space="preserve">Depend on volume of new business or in-force business (variable with activity)</t>
  </si>
  <si>
    <t xml:space="preserve">Overheads</t>
  </si>
  <si>
    <t xml:space="preserve">Balance; relate to general management; insensitive to volume changes</t>
  </si>
  <si>
    <t xml:space="preserve">Inflation drivers</t>
  </si>
  <si>
    <t xml:space="preserve">Salaries of medical/claims staff; IT costs for admin; medical advances (claims handling)</t>
  </si>
  <si>
    <t xml:space="preserve">PMI importance</t>
  </si>
  <si>
    <t xml:space="preserve">Short-term + low persistency → overheads must be covered by in-force volume</t>
  </si>
  <si>
    <t xml:space="preserve">Step changes</t>
  </si>
  <si>
    <t xml:space="preserve">Significant one-off costs (e.g. IT system) may need amortising over several years</t>
  </si>
  <si>
    <t xml:space="preserve">Product contrib.</t>
  </si>
  <si>
    <t xml:space="preserve">Compare each product's contribution to expenses; incorporate into pricing &amp; reserves</t>
  </si>
  <si>
    <t xml:space="preserve">Positive variance</t>
  </si>
  <si>
    <t xml:space="preserve">Actual &lt; Budget = underspend; Actual &gt; Budget = overspend (shown in brackets above)</t>
  </si>
  <si>
    <t xml:space="preserve">Portfolio Analysis – Single Factor &amp; Multi-Factor Risk Tables (PMI)</t>
  </si>
  <si>
    <t xml:space="preserve">SECTION A  –  Portfolio Split by Insurance Class</t>
  </si>
  <si>
    <t xml:space="preserve">Class</t>
  </si>
  <si>
    <t xml:space="preserve">Policies
in Force</t>
  </si>
  <si>
    <t xml:space="preserve">% of
Total</t>
  </si>
  <si>
    <t xml:space="preserve">Premium
Income (£m)</t>
  </si>
  <si>
    <t xml:space="preserve">Avg Premium
per Policy (£)</t>
  </si>
  <si>
    <t xml:space="preserve">Notes</t>
  </si>
  <si>
    <t xml:space="preserve">PMI</t>
  </si>
  <si>
    <t xml:space="preserve">Largest class; high churn</t>
  </si>
  <si>
    <t xml:space="preserve">CI</t>
  </si>
  <si>
    <t xml:space="preserve">Growing – watch RBNS carefully</t>
  </si>
  <si>
    <t xml:space="preserve">IP</t>
  </si>
  <si>
    <t xml:space="preserve">Small; high reserve requirement</t>
  </si>
  <si>
    <t xml:space="preserve">LTCI</t>
  </si>
  <si>
    <t xml:space="preserve">Immature; limited data</t>
  </si>
  <si>
    <t xml:space="preserve">SECTION B  –  Single-Factor Table: PMI Distribution by Hospital Band (% of premium income)</t>
  </si>
  <si>
    <t xml:space="preserve">Hospital Band</t>
  </si>
  <si>
    <t xml:space="preserve">HB 1</t>
  </si>
  <si>
    <t xml:space="preserve">HB 2</t>
  </si>
  <si>
    <t xml:space="preserve">HB 3</t>
  </si>
  <si>
    <t xml:space="preserve">HB 4</t>
  </si>
  <si>
    <t xml:space="preserve">HB 5</t>
  </si>
  <si>
    <t xml:space="preserve">HB 6</t>
  </si>
  <si>
    <t xml:space="preserve">Total</t>
  </si>
  <si>
    <t xml:space="preserve">% Premium</t>
  </si>
  <si>
    <t xml:space="preserve">SECTION C  –  Multi-Factor Table: PMI % Premium by Hospital Band × Age × Gender</t>
  </si>
  <si>
    <t xml:space="preserve">Excess</t>
  </si>
  <si>
    <t xml:space="preserve">HB Band</t>
  </si>
  <si>
    <t xml:space="preserve">Gender</t>
  </si>
  <si>
    <t xml:space="preserve">£50</t>
  </si>
  <si>
    <t xml:space="preserve">HB 1-2</t>
  </si>
  <si>
    <t xml:space="preserve">Male</t>
  </si>
  <si>
    <t xml:space="preserve">17-24</t>
  </si>
  <si>
    <t xml:space="preserve">25-49</t>
  </si>
  <si>
    <t xml:space="preserve">50+</t>
  </si>
  <si>
    <t xml:space="preserve">Female</t>
  </si>
  <si>
    <t xml:space="preserve">HB 3-4</t>
  </si>
  <si>
    <t xml:space="preserve">£100</t>
  </si>
  <si>
    <t xml:space="preserve">Insurance Cycle &amp; Premium Rate Trend</t>
  </si>
  <si>
    <t xml:space="preserve">SECTION A  –  Insurance Cycle Phase Summary</t>
  </si>
  <si>
    <t xml:space="preserve">Phase</t>
  </si>
  <si>
    <t xml:space="preserve">Label</t>
  </si>
  <si>
    <t xml:space="preserve">Premium
Level</t>
  </si>
  <si>
    <t xml:space="preserve">Competition</t>
  </si>
  <si>
    <t xml:space="preserve">Profitability</t>
  </si>
  <si>
    <t xml:space="preserve">Key Trigger</t>
  </si>
  <si>
    <t xml:space="preserve">Typical Product
Impact</t>
  </si>
  <si>
    <t xml:space="preserve">High Profits</t>
  </si>
  <si>
    <t xml:space="preserve">High</t>
  </si>
  <si>
    <t xml:space="preserve">Low</t>
  </si>
  <si>
    <t xml:space="preserve">New entrants attracted</t>
  </si>
  <si>
    <t xml:space="preserve">Group IP / PMI most affected</t>
  </si>
  <si>
    <t xml:space="preserve">Greater Competition</t>
  </si>
  <si>
    <t xml:space="preserve">Falling</t>
  </si>
  <si>
    <t xml:space="preserve">Rising</t>
  </si>
  <si>
    <t xml:space="preserve">Moderate</t>
  </si>
  <si>
    <t xml:space="preserve">Commission &amp; mktg increase</t>
  </si>
  <si>
    <t xml:space="preserve">Soft rates; anti-selection risk</t>
  </si>
  <si>
    <t xml:space="preserve">Losses</t>
  </si>
  <si>
    <t xml:space="preserve">Peak</t>
  </si>
  <si>
    <t xml:space="preserve">Negative</t>
  </si>
  <si>
    <t xml:space="preserve">Some insurers exit market</t>
  </si>
  <si>
    <t xml:space="preserve">Claims &gt; Premium; reserving stress</t>
  </si>
  <si>
    <t xml:space="preserve">Reduced Competition</t>
  </si>
  <si>
    <t xml:space="preserve">Improving</t>
  </si>
  <si>
    <t xml:space="preserve">Losses prompt rate hardening</t>
  </si>
  <si>
    <t xml:space="preserve">New business shrinks; margins recover</t>
  </si>
  <si>
    <t xml:space="preserve">SECTION B  –  Illustrative Premium Rate Index (Base = Year 1)</t>
  </si>
  <si>
    <t xml:space="preserve">Metric</t>
  </si>
  <si>
    <t xml:space="preserve">Yr 1</t>
  </si>
  <si>
    <t xml:space="preserve">Yr 2</t>
  </si>
  <si>
    <t xml:space="preserve">Yr 3</t>
  </si>
  <si>
    <t xml:space="preserve">Yr 4</t>
  </si>
  <si>
    <t xml:space="preserve">Yr 5</t>
  </si>
  <si>
    <t xml:space="preserve">Yr 6</t>
  </si>
  <si>
    <t xml:space="preserve">Yr 7</t>
  </si>
  <si>
    <t xml:space="preserve">Yr 8</t>
  </si>
  <si>
    <t xml:space="preserve">Yr 9</t>
  </si>
  <si>
    <t xml:space="preserve">Yr 10</t>
  </si>
  <si>
    <t xml:space="preserve">Yr 11</t>
  </si>
  <si>
    <t xml:space="preserve">Yr 12</t>
  </si>
  <si>
    <t xml:space="preserve">Rate Index</t>
  </si>
  <si>
    <t xml:space="preserve">Cycle Phase</t>
  </si>
  <si>
    <t xml:space="preserve">KEY NOTES – Insurance Cycle</t>
  </si>
  <si>
    <t xml:space="preserve">Relevance</t>
  </si>
  <si>
    <t xml:space="preserve">Mainly affects short-term group business (PMI, group IP); less so individual CI/IP (longer-term rates)</t>
  </si>
  <si>
    <t xml:space="preserve">Phase 1→2</t>
  </si>
  <si>
    <t xml:space="preserve">High profits attract new entrants; premiums start to soften; commissions rise</t>
  </si>
  <si>
    <t xml:space="preserve">Phase 2→3</t>
  </si>
  <si>
    <t xml:space="preserve">Soft premiums → under-pricing → losses emerge; investment income may temporarily mask</t>
  </si>
  <si>
    <t xml:space="preserve">Phase 3→4</t>
  </si>
  <si>
    <t xml:space="preserve">Insurers exit; survivors raise rates; smaller books but improving margins</t>
  </si>
  <si>
    <t xml:space="preserve">Phase 4→1</t>
  </si>
  <si>
    <t xml:space="preserve">Rate hardening restores profitability; new entrants re-emerge; cycle repeats</t>
  </si>
  <si>
    <t xml:space="preserve">Different classes</t>
  </si>
  <si>
    <t xml:space="preserve">Different product lines are at different phase points simultaneously</t>
  </si>
  <si>
    <t xml:space="preserve">Actuarial use</t>
  </si>
  <si>
    <t xml:space="preserve">Incorporate cycle position into pricing assumptions; adjust reserves for adverse phase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</si>
</sst>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00%"/>
    <numFmt numFmtId="167" formatCode="#,##0.0"/>
    <numFmt numFmtId="168" formatCode="0.0%"/>
    <numFmt numFmtId="169" formatCode="0.0000"/>
    <numFmt numFmtId="170" formatCode="0.0"/>
    <numFmt numFmtId="171" formatCode="0%"/>
    <numFmt numFmtId="172" formatCode="0"/>
    <numFmt numFmtId="173" formatCode="#,##0;\(#,##0\);\-"/>
    <numFmt numFmtId="174" formatCode="0.0%;\(0.0%\);\-"/>
    <numFmt numFmtId="175" formatCode="#,##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11"/>
      <color rgb="FF1F3864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6E4F0"/>
        <bgColor rgb="FFD9D9D9"/>
      </patternFill>
    </fill>
    <fill>
      <patternFill patternType="solid">
        <fgColor rgb="FFD9D9D9"/>
        <bgColor rgb="FFD6E4F0"/>
      </patternFill>
    </fill>
    <fill>
      <patternFill patternType="solid">
        <fgColor rgb="FF70AD47"/>
        <bgColor rgb="FF99CC00"/>
      </patternFill>
    </fill>
    <fill>
      <patternFill patternType="solid">
        <fgColor rgb="FFFFC000"/>
        <bgColor rgb="FFFF9900"/>
      </patternFill>
    </fill>
    <fill>
      <patternFill patternType="solid">
        <fgColor rgb="FFFF6666"/>
        <bgColor rgb="FFFF66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2F2F2"/>
      <rgbColor rgb="FFD6E4F0"/>
      <rgbColor rgb="FF660066"/>
      <rgbColor rgb="FFFF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FF6600"/>
      <rgbColor rgb="FF666699"/>
      <rgbColor rgb="FFAAAAAA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2"/>
    <col collapsed="false" customWidth="true" hidden="false" outlineLevel="0" max="4" min="4" style="0" width="28"/>
    <col collapsed="false" customWidth="true" hidden="false" outlineLevel="0" max="5" min="5" style="0" width="2"/>
    <col collapsed="false" customWidth="true" hidden="false" outlineLevel="0" max="6" min="6" style="0" width="60"/>
    <col collapsed="false" customWidth="true" hidden="false" outlineLevel="0" max="10" min="7" style="0" width="2"/>
  </cols>
  <sheetData>
    <row r="1" customFormat="false" ht="7.5" hidden="false" customHeight="true" outlineLevel="0" collapsed="false"/>
    <row r="2" customFormat="false" ht="60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</row>
    <row r="3" customFormat="false" ht="7.5" hidden="false" customHeight="true" outlineLevel="0" collapsed="false"/>
    <row r="4" customFormat="false" ht="24" hidden="false" customHeight="true" outlineLevel="0" collapsed="false">
      <c r="B4" s="2" t="s">
        <v>1</v>
      </c>
      <c r="C4" s="2"/>
      <c r="D4" s="2"/>
      <c r="E4" s="2"/>
      <c r="F4" s="2"/>
      <c r="G4" s="2"/>
      <c r="H4" s="2"/>
      <c r="I4" s="2"/>
      <c r="J4" s="2"/>
    </row>
    <row r="5" customFormat="false" ht="7.5" hidden="false" customHeight="true" outlineLevel="0" collapsed="false"/>
    <row r="6" customFormat="false" ht="21.75" hidden="false" customHeight="true" outlineLevel="0" collapsed="false">
      <c r="B6" s="3" t="s">
        <v>2</v>
      </c>
      <c r="C6" s="3"/>
      <c r="D6" s="3"/>
      <c r="E6" s="3"/>
      <c r="F6" s="3"/>
      <c r="G6" s="3"/>
      <c r="H6" s="3"/>
      <c r="I6" s="3"/>
      <c r="J6" s="3"/>
    </row>
    <row r="7" customFormat="false" ht="18" hidden="false" customHeight="true" outlineLevel="0" collapsed="false">
      <c r="B7" s="4" t="s">
        <v>3</v>
      </c>
      <c r="D7" s="4" t="s">
        <v>4</v>
      </c>
      <c r="F7" s="4" t="s">
        <v>5</v>
      </c>
    </row>
    <row r="8" customFormat="false" ht="18" hidden="false" customHeight="true" outlineLevel="0" collapsed="false">
      <c r="B8" s="5" t="n">
        <v>1</v>
      </c>
      <c r="C8" s="5"/>
      <c r="D8" s="6" t="s">
        <v>6</v>
      </c>
      <c r="E8" s="5"/>
      <c r="F8" s="6" t="s">
        <v>7</v>
      </c>
      <c r="G8" s="5"/>
      <c r="H8" s="5"/>
      <c r="I8" s="5"/>
      <c r="J8" s="5"/>
    </row>
    <row r="9" customFormat="false" ht="18" hidden="false" customHeight="true" outlineLevel="0" collapsed="false">
      <c r="B9" s="7" t="n">
        <v>2</v>
      </c>
      <c r="C9" s="7"/>
      <c r="D9" s="8" t="s">
        <v>8</v>
      </c>
      <c r="E9" s="7"/>
      <c r="F9" s="8" t="s">
        <v>9</v>
      </c>
      <c r="G9" s="7"/>
      <c r="H9" s="7"/>
      <c r="I9" s="7"/>
      <c r="J9" s="7"/>
    </row>
    <row r="10" customFormat="false" ht="18" hidden="false" customHeight="true" outlineLevel="0" collapsed="false">
      <c r="B10" s="5" t="n">
        <v>3</v>
      </c>
      <c r="C10" s="5"/>
      <c r="D10" s="6" t="s">
        <v>10</v>
      </c>
      <c r="E10" s="5"/>
      <c r="F10" s="6" t="s">
        <v>11</v>
      </c>
      <c r="G10" s="5"/>
      <c r="H10" s="5"/>
      <c r="I10" s="5"/>
      <c r="J10" s="5"/>
    </row>
    <row r="11" customFormat="false" ht="18" hidden="false" customHeight="true" outlineLevel="0" collapsed="false">
      <c r="B11" s="7" t="n">
        <v>4</v>
      </c>
      <c r="C11" s="7"/>
      <c r="D11" s="8" t="s">
        <v>12</v>
      </c>
      <c r="E11" s="7"/>
      <c r="F11" s="8" t="s">
        <v>13</v>
      </c>
      <c r="G11" s="7"/>
      <c r="H11" s="7"/>
      <c r="I11" s="7"/>
      <c r="J11" s="7"/>
    </row>
    <row r="12" customFormat="false" ht="18" hidden="false" customHeight="true" outlineLevel="0" collapsed="false">
      <c r="B12" s="5" t="n">
        <v>5</v>
      </c>
      <c r="C12" s="5"/>
      <c r="D12" s="6" t="s">
        <v>14</v>
      </c>
      <c r="E12" s="5"/>
      <c r="F12" s="6" t="s">
        <v>15</v>
      </c>
      <c r="G12" s="5"/>
      <c r="H12" s="5"/>
      <c r="I12" s="5"/>
      <c r="J12" s="5"/>
    </row>
    <row r="13" customFormat="false" ht="18" hidden="false" customHeight="true" outlineLevel="0" collapsed="false">
      <c r="B13" s="7" t="n">
        <v>6</v>
      </c>
      <c r="C13" s="7"/>
      <c r="D13" s="8" t="s">
        <v>16</v>
      </c>
      <c r="E13" s="7"/>
      <c r="F13" s="8" t="s">
        <v>17</v>
      </c>
      <c r="G13" s="7"/>
      <c r="H13" s="7"/>
      <c r="I13" s="7"/>
      <c r="J13" s="7"/>
    </row>
    <row r="14" customFormat="false" ht="18" hidden="false" customHeight="true" outlineLevel="0" collapsed="false">
      <c r="B14" s="5" t="n">
        <v>7</v>
      </c>
      <c r="C14" s="5"/>
      <c r="D14" s="6" t="s">
        <v>18</v>
      </c>
      <c r="E14" s="5"/>
      <c r="F14" s="6" t="s">
        <v>19</v>
      </c>
      <c r="G14" s="5"/>
      <c r="H14" s="5"/>
      <c r="I14" s="5"/>
      <c r="J14" s="5"/>
    </row>
    <row r="16" customFormat="false" ht="15" hidden="false" customHeight="false" outlineLevel="0" collapsed="false">
      <c r="B16" s="9" t="s">
        <v>20</v>
      </c>
      <c r="C16" s="9"/>
      <c r="D16" s="9"/>
      <c r="E16" s="9"/>
      <c r="F16" s="9"/>
      <c r="G16" s="9"/>
      <c r="H16" s="9"/>
      <c r="I16" s="9"/>
      <c r="J16" s="9"/>
    </row>
  </sheetData>
  <mergeCells count="4">
    <mergeCell ref="B2:J2"/>
    <mergeCell ref="B4:J4"/>
    <mergeCell ref="B6:J6"/>
    <mergeCell ref="B16:J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8" min="3" style="0" width="14"/>
    <col collapsed="false" customWidth="true" hidden="false" outlineLevel="0" max="9" min="9" style="0" width="16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0" t="s">
        <v>21</v>
      </c>
      <c r="C1" s="10"/>
      <c r="D1" s="10"/>
      <c r="E1" s="10"/>
      <c r="F1" s="10"/>
      <c r="G1" s="10"/>
      <c r="H1" s="10"/>
      <c r="I1" s="10"/>
    </row>
    <row r="2" customFormat="false" ht="15.75" hidden="false" customHeight="true" outlineLevel="0" collapsed="false">
      <c r="B2" s="11" t="s">
        <v>22</v>
      </c>
      <c r="C2" s="11"/>
      <c r="D2" s="11"/>
      <c r="E2" s="11"/>
      <c r="F2" s="11"/>
      <c r="G2" s="11"/>
      <c r="H2" s="11"/>
      <c r="I2" s="11"/>
    </row>
    <row r="4" customFormat="false" ht="21.75" hidden="false" customHeight="true" outlineLevel="0" collapsed="false">
      <c r="B4" s="12" t="s">
        <v>23</v>
      </c>
      <c r="C4" s="12"/>
      <c r="D4" s="12"/>
      <c r="E4" s="12"/>
      <c r="F4" s="12"/>
      <c r="G4" s="12"/>
      <c r="H4" s="12"/>
      <c r="I4" s="12"/>
    </row>
    <row r="5" customFormat="false" ht="36" hidden="false" customHeight="true" outlineLevel="0" collapsed="false">
      <c r="B5" s="13" t="s">
        <v>24</v>
      </c>
      <c r="C5" s="13" t="s">
        <v>25</v>
      </c>
      <c r="D5" s="13" t="s">
        <v>26</v>
      </c>
      <c r="E5" s="13" t="s">
        <v>27</v>
      </c>
      <c r="F5" s="13" t="s">
        <v>28</v>
      </c>
      <c r="G5" s="13" t="s">
        <v>29</v>
      </c>
      <c r="H5" s="13" t="s">
        <v>30</v>
      </c>
      <c r="I5" s="13" t="s">
        <v>31</v>
      </c>
    </row>
    <row r="6" customFormat="false" ht="18" hidden="false" customHeight="true" outlineLevel="0" collapsed="false">
      <c r="B6" s="14" t="s">
        <v>32</v>
      </c>
      <c r="C6" s="15" t="n">
        <v>4500</v>
      </c>
      <c r="D6" s="16" t="n">
        <v>0.008</v>
      </c>
      <c r="E6" s="17" t="n">
        <f aca="false">C6*D6</f>
        <v>36</v>
      </c>
      <c r="F6" s="15" t="n">
        <v>38</v>
      </c>
      <c r="G6" s="18" t="n">
        <f aca="false">IF(E6=0,"-",F6/E6)</f>
        <v>1.05555555555556</v>
      </c>
      <c r="H6" s="18" t="n">
        <f aca="false">IF(E6=0,"-",(F6-1.96*SQRT(F6))/E6)</f>
        <v>0.719937459838356</v>
      </c>
      <c r="I6" s="18" t="n">
        <f aca="false">IF(E6=0,"-",(F6+1.96*SQRT(F6))/E6)</f>
        <v>1.39117365127276</v>
      </c>
    </row>
    <row r="7" customFormat="false" ht="18" hidden="false" customHeight="true" outlineLevel="0" collapsed="false">
      <c r="B7" s="14" t="s">
        <v>33</v>
      </c>
      <c r="C7" s="19" t="n">
        <v>6200</v>
      </c>
      <c r="D7" s="20" t="n">
        <v>0.015</v>
      </c>
      <c r="E7" s="21" t="n">
        <f aca="false">C7*D7</f>
        <v>93</v>
      </c>
      <c r="F7" s="19" t="n">
        <v>102</v>
      </c>
      <c r="G7" s="22" t="n">
        <f aca="false">IF(E7=0,"-",F7/E7)</f>
        <v>1.09677419354839</v>
      </c>
      <c r="H7" s="22" t="n">
        <f aca="false">IF(E7=0,"-",(F7-1.96*SQRT(F7))/E7)</f>
        <v>0.883924412051724</v>
      </c>
      <c r="I7" s="22" t="n">
        <f aca="false">IF(E7=0,"-",(F7+1.96*SQRT(F7))/E7)</f>
        <v>1.30962397504505</v>
      </c>
    </row>
    <row r="8" customFormat="false" ht="18" hidden="false" customHeight="true" outlineLevel="0" collapsed="false">
      <c r="B8" s="14" t="s">
        <v>34</v>
      </c>
      <c r="C8" s="15" t="n">
        <v>5800</v>
      </c>
      <c r="D8" s="16" t="n">
        <v>0.028</v>
      </c>
      <c r="E8" s="17" t="n">
        <f aca="false">C8*D8</f>
        <v>162.4</v>
      </c>
      <c r="F8" s="15" t="n">
        <v>178</v>
      </c>
      <c r="G8" s="18" t="n">
        <f aca="false">IF(E8=0,"-",F8/E8)</f>
        <v>1.09605911330049</v>
      </c>
      <c r="H8" s="18" t="n">
        <f aca="false">IF(E8=0,"-",(F8-1.96*SQRT(F8))/E8)</f>
        <v>0.935039029767933</v>
      </c>
      <c r="I8" s="18" t="n">
        <f aca="false">IF(E8=0,"-",(F8+1.96*SQRT(F8))/E8)</f>
        <v>1.25707919683305</v>
      </c>
    </row>
    <row r="9" customFormat="false" ht="18" hidden="false" customHeight="true" outlineLevel="0" collapsed="false">
      <c r="B9" s="14" t="s">
        <v>35</v>
      </c>
      <c r="C9" s="19" t="n">
        <v>4100</v>
      </c>
      <c r="D9" s="20" t="n">
        <v>0.048</v>
      </c>
      <c r="E9" s="21" t="n">
        <f aca="false">C9*D9</f>
        <v>196.8</v>
      </c>
      <c r="F9" s="19" t="n">
        <v>218</v>
      </c>
      <c r="G9" s="22" t="n">
        <f aca="false">IF(E9=0,"-",F9/E9)</f>
        <v>1.10772357723577</v>
      </c>
      <c r="H9" s="22" t="n">
        <f aca="false">IF(E9=0,"-",(F9-1.96*SQRT(F9))/E9)</f>
        <v>0.960675542692797</v>
      </c>
      <c r="I9" s="22" t="n">
        <f aca="false">IF(E9=0,"-",(F9+1.96*SQRT(F9))/E9)</f>
        <v>1.25477161177875</v>
      </c>
    </row>
    <row r="10" customFormat="false" ht="18" hidden="false" customHeight="true" outlineLevel="0" collapsed="false">
      <c r="B10" s="14" t="s">
        <v>36</v>
      </c>
      <c r="C10" s="15" t="n">
        <v>1800</v>
      </c>
      <c r="D10" s="16" t="n">
        <v>0.072</v>
      </c>
      <c r="E10" s="17" t="n">
        <f aca="false">C10*D10</f>
        <v>129.6</v>
      </c>
      <c r="F10" s="15" t="n">
        <v>144</v>
      </c>
      <c r="G10" s="18" t="n">
        <f aca="false">IF(E10=0,"-",F10/E10)</f>
        <v>1.11111111111111</v>
      </c>
      <c r="H10" s="18" t="n">
        <f aca="false">IF(E10=0,"-",(F10-1.96*SQRT(F10))/E10)</f>
        <v>0.92962962962963</v>
      </c>
      <c r="I10" s="18" t="n">
        <f aca="false">IF(E10=0,"-",(F10+1.96*SQRT(F10))/E10)</f>
        <v>1.29259259259259</v>
      </c>
    </row>
    <row r="11" customFormat="false" ht="19.5" hidden="false" customHeight="true" outlineLevel="0" collapsed="false">
      <c r="B11" s="14" t="s">
        <v>37</v>
      </c>
      <c r="C11" s="23" t="n">
        <f aca="false">SUM(C6:C10)</f>
        <v>22400</v>
      </c>
      <c r="D11" s="24"/>
      <c r="E11" s="25" t="n">
        <f aca="false">SUM(E6:E10)</f>
        <v>617.8</v>
      </c>
      <c r="F11" s="23" t="n">
        <f aca="false">SUM(F6:F10)</f>
        <v>680</v>
      </c>
      <c r="G11" s="26" t="n">
        <f aca="false">IF(E11=0,"-",F11/E11)</f>
        <v>1.10067983166073</v>
      </c>
      <c r="H11" s="24"/>
      <c r="I11" s="24"/>
    </row>
    <row r="12" customFormat="false" ht="13.5" hidden="false" customHeight="true" outlineLevel="0" collapsed="false"/>
    <row r="13" customFormat="false" ht="21.75" hidden="false" customHeight="true" outlineLevel="0" collapsed="false">
      <c r="B13" s="12" t="s">
        <v>38</v>
      </c>
      <c r="C13" s="12"/>
      <c r="D13" s="12"/>
      <c r="E13" s="12"/>
      <c r="F13" s="12"/>
      <c r="G13" s="12"/>
      <c r="H13" s="12"/>
      <c r="I13" s="12"/>
    </row>
    <row r="14" customFormat="false" ht="36" hidden="false" customHeight="true" outlineLevel="0" collapsed="false">
      <c r="B14" s="13" t="s">
        <v>24</v>
      </c>
      <c r="C14" s="13" t="s">
        <v>25</v>
      </c>
      <c r="D14" s="13" t="s">
        <v>26</v>
      </c>
      <c r="E14" s="13" t="s">
        <v>27</v>
      </c>
      <c r="F14" s="13" t="s">
        <v>28</v>
      </c>
      <c r="G14" s="13" t="s">
        <v>29</v>
      </c>
      <c r="H14" s="13" t="s">
        <v>30</v>
      </c>
      <c r="I14" s="13" t="s">
        <v>31</v>
      </c>
    </row>
    <row r="15" customFormat="false" ht="18" hidden="false" customHeight="true" outlineLevel="0" collapsed="false">
      <c r="B15" s="14" t="s">
        <v>32</v>
      </c>
      <c r="C15" s="15" t="n">
        <v>3200</v>
      </c>
      <c r="D15" s="16" t="n">
        <v>0.0012</v>
      </c>
      <c r="E15" s="17" t="n">
        <f aca="false">C15*D15</f>
        <v>3.84</v>
      </c>
      <c r="F15" s="15" t="n">
        <v>4</v>
      </c>
      <c r="G15" s="18" t="n">
        <f aca="false">IF(E15=0,"-",F15/E15)</f>
        <v>1.04166666666667</v>
      </c>
      <c r="H15" s="18" t="n">
        <f aca="false">IF(E15=0,"-",(F15-1.96*SQRT(F15))/E15)</f>
        <v>0.0208333333333334</v>
      </c>
      <c r="I15" s="18" t="n">
        <f aca="false">IF(E15=0,"-",(F15+1.96*SQRT(F15))/E15)</f>
        <v>2.0625</v>
      </c>
    </row>
    <row r="16" customFormat="false" ht="18" hidden="false" customHeight="true" outlineLevel="0" collapsed="false">
      <c r="B16" s="14" t="s">
        <v>33</v>
      </c>
      <c r="C16" s="19" t="n">
        <v>5100</v>
      </c>
      <c r="D16" s="20" t="n">
        <v>0.0035</v>
      </c>
      <c r="E16" s="21" t="n">
        <f aca="false">C16*D16</f>
        <v>17.85</v>
      </c>
      <c r="F16" s="19" t="n">
        <v>18</v>
      </c>
      <c r="G16" s="22" t="n">
        <f aca="false">IF(E16=0,"-",F16/E16)</f>
        <v>1.00840336134454</v>
      </c>
      <c r="H16" s="22" t="n">
        <f aca="false">IF(E16=0,"-",(F16-1.96*SQRT(F16))/E16)</f>
        <v>0.542544776092224</v>
      </c>
      <c r="I16" s="22" t="n">
        <f aca="false">IF(E16=0,"-",(F16+1.96*SQRT(F16))/E16)</f>
        <v>1.47426194659685</v>
      </c>
    </row>
    <row r="17" customFormat="false" ht="18" hidden="false" customHeight="true" outlineLevel="0" collapsed="false">
      <c r="B17" s="14" t="s">
        <v>34</v>
      </c>
      <c r="C17" s="15" t="n">
        <v>4900</v>
      </c>
      <c r="D17" s="16" t="n">
        <v>0.009</v>
      </c>
      <c r="E17" s="17" t="n">
        <f aca="false">C17*D17</f>
        <v>44.1</v>
      </c>
      <c r="F17" s="15" t="n">
        <v>46</v>
      </c>
      <c r="G17" s="18" t="n">
        <f aca="false">IF(E17=0,"-",F17/E17)</f>
        <v>1.04308390022676</v>
      </c>
      <c r="H17" s="18" t="n">
        <f aca="false">IF(E17=0,"-",(F17-1.96*SQRT(F17))/E17)</f>
        <v>0.741647012087857</v>
      </c>
      <c r="I17" s="18" t="n">
        <f aca="false">IF(E17=0,"-",(F17+1.96*SQRT(F17))/E17)</f>
        <v>1.34452078836566</v>
      </c>
    </row>
    <row r="18" customFormat="false" ht="18" hidden="false" customHeight="true" outlineLevel="0" collapsed="false">
      <c r="B18" s="14" t="s">
        <v>35</v>
      </c>
      <c r="C18" s="19" t="n">
        <v>3600</v>
      </c>
      <c r="D18" s="20" t="n">
        <v>0.0195</v>
      </c>
      <c r="E18" s="21" t="n">
        <f aca="false">C18*D18</f>
        <v>70.2</v>
      </c>
      <c r="F18" s="19" t="n">
        <v>75</v>
      </c>
      <c r="G18" s="22" t="n">
        <f aca="false">IF(E18=0,"-",F18/E18)</f>
        <v>1.06837606837607</v>
      </c>
      <c r="H18" s="22" t="n">
        <f aca="false">IF(E18=0,"-",(F18-1.96*SQRT(F18))/E18)</f>
        <v>0.826579801792379</v>
      </c>
      <c r="I18" s="22" t="n">
        <f aca="false">IF(E18=0,"-",(F18+1.96*SQRT(F18))/E18)</f>
        <v>1.31017233495976</v>
      </c>
    </row>
    <row r="19" customFormat="false" ht="18" hidden="false" customHeight="true" outlineLevel="0" collapsed="false">
      <c r="B19" s="14" t="s">
        <v>36</v>
      </c>
      <c r="C19" s="15" t="n">
        <v>1200</v>
      </c>
      <c r="D19" s="16" t="n">
        <v>0.034</v>
      </c>
      <c r="E19" s="17" t="n">
        <f aca="false">C19*D19</f>
        <v>40.8</v>
      </c>
      <c r="F19" s="15" t="n">
        <v>44</v>
      </c>
      <c r="G19" s="18" t="n">
        <f aca="false">IF(E19=0,"-",F19/E19)</f>
        <v>1.07843137254902</v>
      </c>
      <c r="H19" s="18" t="n">
        <f aca="false">IF(E19=0,"-",(F19-1.96*SQRT(F19))/E19)</f>
        <v>0.759775265240364</v>
      </c>
      <c r="I19" s="18" t="n">
        <f aca="false">IF(E19=0,"-",(F19+1.96*SQRT(F19))/E19)</f>
        <v>1.39708747985768</v>
      </c>
    </row>
    <row r="20" customFormat="false" ht="19.5" hidden="false" customHeight="true" outlineLevel="0" collapsed="false">
      <c r="B20" s="14" t="s">
        <v>37</v>
      </c>
      <c r="C20" s="23" t="n">
        <f aca="false">SUM(C15:C19)</f>
        <v>18000</v>
      </c>
      <c r="D20" s="24"/>
      <c r="E20" s="25" t="n">
        <f aca="false">SUM(E15:E19)</f>
        <v>176.79</v>
      </c>
      <c r="F20" s="23" t="n">
        <f aca="false">SUM(F15:F19)</f>
        <v>187</v>
      </c>
      <c r="G20" s="26" t="n">
        <f aca="false">IF(E20=0,"-",F20/E20)</f>
        <v>1.05775213530177</v>
      </c>
      <c r="H20" s="24"/>
      <c r="I20" s="24"/>
    </row>
    <row r="22" customFormat="false" ht="18" hidden="false" customHeight="true" outlineLevel="0" collapsed="false">
      <c r="B22" s="27" t="s">
        <v>39</v>
      </c>
      <c r="C22" s="27"/>
      <c r="D22" s="27"/>
      <c r="E22" s="27"/>
      <c r="F22" s="27"/>
      <c r="G22" s="27"/>
      <c r="H22" s="27"/>
      <c r="I22" s="27"/>
    </row>
    <row r="23" customFormat="false" ht="18" hidden="false" customHeight="true" outlineLevel="0" collapsed="false">
      <c r="B23" s="14" t="s">
        <v>40</v>
      </c>
      <c r="C23" s="28" t="s">
        <v>41</v>
      </c>
      <c r="D23" s="28"/>
      <c r="E23" s="28"/>
      <c r="F23" s="28"/>
      <c r="G23" s="28"/>
      <c r="H23" s="28"/>
      <c r="I23" s="28"/>
    </row>
    <row r="24" customFormat="false" ht="18" hidden="false" customHeight="true" outlineLevel="0" collapsed="false">
      <c r="B24" s="14" t="s">
        <v>42</v>
      </c>
      <c r="C24" s="29" t="s">
        <v>43</v>
      </c>
      <c r="D24" s="29"/>
      <c r="E24" s="29"/>
      <c r="F24" s="29"/>
      <c r="G24" s="29"/>
      <c r="H24" s="29"/>
      <c r="I24" s="29"/>
    </row>
    <row r="25" customFormat="false" ht="18" hidden="false" customHeight="true" outlineLevel="0" collapsed="false">
      <c r="B25" s="14" t="s">
        <v>44</v>
      </c>
      <c r="C25" s="28" t="s">
        <v>45</v>
      </c>
      <c r="D25" s="28"/>
      <c r="E25" s="28"/>
      <c r="F25" s="28"/>
      <c r="G25" s="28"/>
      <c r="H25" s="28"/>
      <c r="I25" s="28"/>
    </row>
    <row r="26" customFormat="false" ht="18" hidden="false" customHeight="true" outlineLevel="0" collapsed="false">
      <c r="B26" s="14" t="s">
        <v>46</v>
      </c>
      <c r="C26" s="29" t="s">
        <v>47</v>
      </c>
      <c r="D26" s="29"/>
      <c r="E26" s="29"/>
      <c r="F26" s="29"/>
      <c r="G26" s="29"/>
      <c r="H26" s="29"/>
      <c r="I26" s="29"/>
    </row>
    <row r="27" customFormat="false" ht="18" hidden="false" customHeight="true" outlineLevel="0" collapsed="false">
      <c r="B27" s="14" t="s">
        <v>48</v>
      </c>
      <c r="C27" s="28" t="s">
        <v>49</v>
      </c>
      <c r="D27" s="28"/>
      <c r="E27" s="28"/>
      <c r="F27" s="28"/>
      <c r="G27" s="28"/>
      <c r="H27" s="28"/>
      <c r="I27" s="28"/>
    </row>
    <row r="28" customFormat="false" ht="18" hidden="false" customHeight="true" outlineLevel="0" collapsed="false">
      <c r="B28" s="14" t="s">
        <v>50</v>
      </c>
      <c r="C28" s="29" t="s">
        <v>51</v>
      </c>
      <c r="D28" s="29"/>
      <c r="E28" s="29"/>
      <c r="F28" s="29"/>
      <c r="G28" s="29"/>
      <c r="H28" s="29"/>
      <c r="I28" s="29"/>
    </row>
    <row r="29" customFormat="false" ht="18" hidden="false" customHeight="true" outlineLevel="0" collapsed="false">
      <c r="B29" s="14" t="s">
        <v>52</v>
      </c>
      <c r="C29" s="28" t="s">
        <v>53</v>
      </c>
      <c r="D29" s="28"/>
      <c r="E29" s="28"/>
      <c r="F29" s="28"/>
      <c r="G29" s="28"/>
      <c r="H29" s="28"/>
      <c r="I29" s="28"/>
    </row>
    <row r="30" customFormat="false" ht="18" hidden="false" customHeight="true" outlineLevel="0" collapsed="false">
      <c r="B30" s="14" t="s">
        <v>54</v>
      </c>
      <c r="C30" s="29" t="s">
        <v>55</v>
      </c>
      <c r="D30" s="29"/>
      <c r="E30" s="29"/>
      <c r="F30" s="29"/>
      <c r="G30" s="29"/>
      <c r="H30" s="29"/>
      <c r="I30" s="29"/>
    </row>
  </sheetData>
  <mergeCells count="13">
    <mergeCell ref="B1:I1"/>
    <mergeCell ref="B2:I2"/>
    <mergeCell ref="B4:I4"/>
    <mergeCell ref="B13:I13"/>
    <mergeCell ref="B22:I22"/>
    <mergeCell ref="C23:I23"/>
    <mergeCell ref="C24:I24"/>
    <mergeCell ref="C25:I25"/>
    <mergeCell ref="C26:I26"/>
    <mergeCell ref="C27:I27"/>
    <mergeCell ref="C28:I28"/>
    <mergeCell ref="C29:I29"/>
    <mergeCell ref="C30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8" min="3" style="0" width="1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0" t="s">
        <v>56</v>
      </c>
      <c r="C1" s="10"/>
      <c r="D1" s="10"/>
      <c r="E1" s="10"/>
      <c r="F1" s="10"/>
      <c r="G1" s="10"/>
      <c r="H1" s="10"/>
    </row>
    <row r="2" customFormat="false" ht="13.5" hidden="false" customHeight="true" outlineLevel="0" collapsed="false">
      <c r="B2" s="11" t="s">
        <v>57</v>
      </c>
      <c r="C2" s="11"/>
      <c r="D2" s="11"/>
      <c r="E2" s="11"/>
      <c r="F2" s="11"/>
      <c r="G2" s="11"/>
      <c r="H2" s="11"/>
    </row>
    <row r="3" customFormat="false" ht="15" hidden="false" customHeight="false" outlineLevel="0" collapsed="false">
      <c r="B3" s="12" t="s">
        <v>58</v>
      </c>
      <c r="C3" s="12"/>
      <c r="D3" s="12"/>
      <c r="E3" s="12"/>
      <c r="F3" s="12"/>
      <c r="G3" s="12"/>
      <c r="H3" s="12"/>
    </row>
    <row r="4" customFormat="false" ht="36" hidden="false" customHeight="true" outlineLevel="0" collapsed="false">
      <c r="B4" s="13" t="s">
        <v>24</v>
      </c>
      <c r="C4" s="13" t="s">
        <v>59</v>
      </c>
      <c r="D4" s="13" t="s">
        <v>60</v>
      </c>
      <c r="E4" s="13" t="s">
        <v>61</v>
      </c>
      <c r="F4" s="13" t="s">
        <v>62</v>
      </c>
      <c r="G4" s="13" t="s">
        <v>63</v>
      </c>
      <c r="H4" s="13" t="s">
        <v>64</v>
      </c>
    </row>
    <row r="5" customFormat="false" ht="18" hidden="false" customHeight="true" outlineLevel="0" collapsed="false">
      <c r="B5" s="14" t="s">
        <v>36</v>
      </c>
      <c r="C5" s="15" t="n">
        <v>450</v>
      </c>
      <c r="D5" s="30" t="n">
        <v>0.0058</v>
      </c>
      <c r="E5" s="17" t="n">
        <f aca="false">C5*D5</f>
        <v>2.61</v>
      </c>
      <c r="F5" s="15" t="n">
        <v>3</v>
      </c>
      <c r="G5" s="31" t="n">
        <f aca="false">IF(E5=0,"-",F5/E5*100)</f>
        <v>114.942528735632</v>
      </c>
      <c r="H5" s="32" t="str">
        <f aca="false">IF(F5=0,"N/A","["&amp;TEXT(G5*(1-1.96/SQRT(F5+0.5)),"0.0")&amp;", "&amp;TEXT(G5*(1+1.96/SQRT(F5+0.5)),"0.0")&amp;"]")</f>
        <v>[-5.5, 235.4]</v>
      </c>
    </row>
    <row r="6" customFormat="false" ht="18" hidden="false" customHeight="true" outlineLevel="0" collapsed="false">
      <c r="B6" s="14" t="s">
        <v>65</v>
      </c>
      <c r="C6" s="19" t="n">
        <v>680</v>
      </c>
      <c r="D6" s="33" t="n">
        <v>0.011</v>
      </c>
      <c r="E6" s="21" t="n">
        <f aca="false">C6*D6</f>
        <v>7.48</v>
      </c>
      <c r="F6" s="19" t="n">
        <v>8</v>
      </c>
      <c r="G6" s="34" t="n">
        <f aca="false">IF(E6=0,"-",F6/E6*100)</f>
        <v>106.951871657754</v>
      </c>
      <c r="H6" s="35" t="str">
        <f aca="false">IF(F6=0,"N/A","["&amp;TEXT(G6*(1-1.96/SQRT(F6+0.5)),"0.0")&amp;", "&amp;TEXT(G6*(1+1.96/SQRT(F6+0.5)),"0.0")&amp;"]")</f>
        <v>[35.1, 178.9]</v>
      </c>
    </row>
    <row r="7" customFormat="false" ht="18" hidden="false" customHeight="true" outlineLevel="0" collapsed="false">
      <c r="B7" s="14" t="s">
        <v>66</v>
      </c>
      <c r="C7" s="15" t="n">
        <v>720</v>
      </c>
      <c r="D7" s="30" t="n">
        <v>0.021</v>
      </c>
      <c r="E7" s="17" t="n">
        <f aca="false">C7*D7</f>
        <v>15.12</v>
      </c>
      <c r="F7" s="15" t="n">
        <v>17</v>
      </c>
      <c r="G7" s="31" t="n">
        <f aca="false">IF(E7=0,"-",F7/E7*100)</f>
        <v>112.433862433862</v>
      </c>
      <c r="H7" s="32" t="str">
        <f aca="false">IF(F7=0,"N/A","["&amp;TEXT(G7*(1-1.96/SQRT(F7+0.5)),"0.0")&amp;", "&amp;TEXT(G7*(1+1.96/SQRT(F7+0.5)),"0.0")&amp;"]")</f>
        <v>[59.8, 165.1]</v>
      </c>
    </row>
    <row r="8" customFormat="false" ht="18" hidden="false" customHeight="true" outlineLevel="0" collapsed="false">
      <c r="B8" s="14" t="s">
        <v>67</v>
      </c>
      <c r="C8" s="19" t="n">
        <v>560</v>
      </c>
      <c r="D8" s="33" t="n">
        <v>0.039</v>
      </c>
      <c r="E8" s="21" t="n">
        <f aca="false">C8*D8</f>
        <v>21.84</v>
      </c>
      <c r="F8" s="19" t="n">
        <v>25</v>
      </c>
      <c r="G8" s="34" t="n">
        <f aca="false">IF(E8=0,"-",F8/E8*100)</f>
        <v>114.468864468864</v>
      </c>
      <c r="H8" s="35" t="str">
        <f aca="false">IF(F8=0,"N/A","["&amp;TEXT(G8*(1-1.96/SQRT(F8+0.5)),"0.0")&amp;", "&amp;TEXT(G8*(1+1.96/SQRT(F8+0.5)),"0.0")&amp;"]")</f>
        <v>[70.0, 158.9]</v>
      </c>
    </row>
    <row r="9" customFormat="false" ht="18" hidden="false" customHeight="true" outlineLevel="0" collapsed="false">
      <c r="B9" s="14" t="s">
        <v>68</v>
      </c>
      <c r="C9" s="15" t="n">
        <v>310</v>
      </c>
      <c r="D9" s="30" t="n">
        <v>0.071</v>
      </c>
      <c r="E9" s="17" t="n">
        <f aca="false">C9*D9</f>
        <v>22.01</v>
      </c>
      <c r="F9" s="15" t="n">
        <v>27</v>
      </c>
      <c r="G9" s="31" t="n">
        <f aca="false">IF(E9=0,"-",F9/E9*100)</f>
        <v>122.67151294866</v>
      </c>
      <c r="H9" s="32" t="str">
        <f aca="false">IF(F9=0,"N/A","["&amp;TEXT(G9*(1-1.96/SQRT(F9+0.5)),"0.0")&amp;", "&amp;TEXT(G9*(1+1.96/SQRT(F9+0.5)),"0.0")&amp;"]")</f>
        <v>[76.8, 168.5]</v>
      </c>
    </row>
    <row r="10" customFormat="false" ht="18" hidden="false" customHeight="true" outlineLevel="0" collapsed="false">
      <c r="B10" s="14" t="s">
        <v>69</v>
      </c>
      <c r="C10" s="19" t="n">
        <v>140</v>
      </c>
      <c r="D10" s="33" t="n">
        <v>0.125</v>
      </c>
      <c r="E10" s="21" t="n">
        <f aca="false">C10*D10</f>
        <v>17.5</v>
      </c>
      <c r="F10" s="19" t="n">
        <v>20</v>
      </c>
      <c r="G10" s="34" t="n">
        <f aca="false">IF(E10=0,"-",F10/E10*100)</f>
        <v>114.285714285714</v>
      </c>
      <c r="H10" s="35" t="str">
        <f aca="false">IF(F10=0,"N/A","["&amp;TEXT(G10*(1-1.96/SQRT(F10+0.5)),"0.0")&amp;", "&amp;TEXT(G10*(1+1.96/SQRT(F10+0.5)),"0.0")&amp;"]")</f>
        <v>[64.8, 163.8]</v>
      </c>
    </row>
    <row r="11" customFormat="false" ht="19.5" hidden="false" customHeight="true" outlineLevel="0" collapsed="false">
      <c r="B11" s="14" t="s">
        <v>70</v>
      </c>
      <c r="C11" s="23" t="n">
        <f aca="false">SUM(C5:C10)</f>
        <v>2860</v>
      </c>
      <c r="D11" s="24"/>
      <c r="E11" s="25" t="n">
        <f aca="false">SUM(E5:E10)</f>
        <v>86.56</v>
      </c>
      <c r="F11" s="23" t="n">
        <f aca="false">SUM(F5:F10)</f>
        <v>100</v>
      </c>
      <c r="G11" s="36" t="n">
        <f aca="false">IF(E11=0,"-",F11/E11*100)</f>
        <v>115.526802218115</v>
      </c>
      <c r="H11" s="24"/>
    </row>
    <row r="13" customFormat="false" ht="19.5" hidden="false" customHeight="true" outlineLevel="0" collapsed="false">
      <c r="B13" s="27" t="s">
        <v>71</v>
      </c>
      <c r="C13" s="27"/>
      <c r="D13" s="27"/>
      <c r="E13" s="27"/>
      <c r="F13" s="27"/>
      <c r="G13" s="27"/>
      <c r="H13" s="27"/>
    </row>
    <row r="14" customFormat="false" ht="18" hidden="false" customHeight="true" outlineLevel="0" collapsed="false">
      <c r="B14" s="14" t="s">
        <v>72</v>
      </c>
      <c r="C14" s="28" t="s">
        <v>73</v>
      </c>
      <c r="D14" s="28"/>
      <c r="E14" s="28"/>
      <c r="F14" s="28"/>
      <c r="G14" s="28"/>
      <c r="H14" s="28"/>
    </row>
    <row r="15" customFormat="false" ht="18" hidden="false" customHeight="true" outlineLevel="0" collapsed="false">
      <c r="B15" s="14" t="s">
        <v>74</v>
      </c>
      <c r="C15" s="29" t="s">
        <v>75</v>
      </c>
      <c r="D15" s="29"/>
      <c r="E15" s="29"/>
      <c r="F15" s="29"/>
      <c r="G15" s="29"/>
      <c r="H15" s="29"/>
    </row>
    <row r="16" customFormat="false" ht="18" hidden="false" customHeight="true" outlineLevel="0" collapsed="false">
      <c r="B16" s="14" t="s">
        <v>76</v>
      </c>
      <c r="C16" s="28" t="s">
        <v>77</v>
      </c>
      <c r="D16" s="28"/>
      <c r="E16" s="28"/>
      <c r="F16" s="28"/>
      <c r="G16" s="28"/>
      <c r="H16" s="28"/>
    </row>
    <row r="17" customFormat="false" ht="18" hidden="false" customHeight="true" outlineLevel="0" collapsed="false">
      <c r="B17" s="14" t="s">
        <v>78</v>
      </c>
      <c r="C17" s="29" t="s">
        <v>79</v>
      </c>
      <c r="D17" s="29"/>
      <c r="E17" s="29"/>
      <c r="F17" s="29"/>
      <c r="G17" s="29"/>
      <c r="H17" s="29"/>
    </row>
    <row r="18" customFormat="false" ht="18" hidden="false" customHeight="true" outlineLevel="0" collapsed="false">
      <c r="B18" s="14" t="s">
        <v>80</v>
      </c>
      <c r="C18" s="28" t="s">
        <v>81</v>
      </c>
      <c r="D18" s="28"/>
      <c r="E18" s="28"/>
      <c r="F18" s="28"/>
      <c r="G18" s="28"/>
      <c r="H18" s="28"/>
    </row>
    <row r="19" customFormat="false" ht="18" hidden="false" customHeight="true" outlineLevel="0" collapsed="false">
      <c r="B19" s="14" t="s">
        <v>82</v>
      </c>
      <c r="C19" s="29" t="s">
        <v>83</v>
      </c>
      <c r="D19" s="29"/>
      <c r="E19" s="29"/>
      <c r="F19" s="29"/>
      <c r="G19" s="29"/>
      <c r="H19" s="29"/>
    </row>
    <row r="20" customFormat="false" ht="18" hidden="false" customHeight="true" outlineLevel="0" collapsed="false">
      <c r="B20" s="14" t="s">
        <v>84</v>
      </c>
      <c r="C20" s="28" t="s">
        <v>85</v>
      </c>
      <c r="D20" s="28"/>
      <c r="E20" s="28"/>
      <c r="F20" s="28"/>
      <c r="G20" s="28"/>
      <c r="H20" s="28"/>
    </row>
    <row r="21" customFormat="false" ht="18" hidden="false" customHeight="true" outlineLevel="0" collapsed="false">
      <c r="B21" s="14" t="s">
        <v>86</v>
      </c>
      <c r="C21" s="29" t="s">
        <v>87</v>
      </c>
      <c r="D21" s="29"/>
      <c r="E21" s="29"/>
      <c r="F21" s="29"/>
      <c r="G21" s="29"/>
      <c r="H21" s="29"/>
    </row>
  </sheetData>
  <mergeCells count="12">
    <mergeCell ref="B1:H1"/>
    <mergeCell ref="B2:H2"/>
    <mergeCell ref="B3:H3"/>
    <mergeCell ref="B13:H13"/>
    <mergeCell ref="C14:H14"/>
    <mergeCell ref="C15:H15"/>
    <mergeCell ref="C16:H16"/>
    <mergeCell ref="C17:H17"/>
    <mergeCell ref="C18:H18"/>
    <mergeCell ref="C19:H19"/>
    <mergeCell ref="C20:H20"/>
    <mergeCell ref="C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7" min="3" style="0" width="16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0" t="s">
        <v>88</v>
      </c>
      <c r="C1" s="10"/>
      <c r="D1" s="10"/>
      <c r="E1" s="10"/>
      <c r="F1" s="10"/>
      <c r="G1" s="10"/>
    </row>
    <row r="3" customFormat="false" ht="21.75" hidden="false" customHeight="true" outlineLevel="0" collapsed="false">
      <c r="B3" s="12" t="s">
        <v>89</v>
      </c>
      <c r="C3" s="12"/>
      <c r="D3" s="12"/>
      <c r="E3" s="12"/>
      <c r="F3" s="12"/>
      <c r="G3" s="12"/>
    </row>
    <row r="4" customFormat="false" ht="36" hidden="false" customHeight="true" outlineLevel="0" collapsed="false">
      <c r="B4" s="13" t="s">
        <v>90</v>
      </c>
      <c r="C4" s="13" t="s">
        <v>91</v>
      </c>
      <c r="D4" s="13" t="s">
        <v>92</v>
      </c>
      <c r="E4" s="13" t="s">
        <v>93</v>
      </c>
      <c r="F4" s="13" t="s">
        <v>94</v>
      </c>
      <c r="G4" s="13" t="s">
        <v>95</v>
      </c>
    </row>
    <row r="5" customFormat="false" ht="18" hidden="false" customHeight="true" outlineLevel="0" collapsed="false">
      <c r="B5" s="14" t="s">
        <v>96</v>
      </c>
      <c r="C5" s="15" t="n">
        <v>8500</v>
      </c>
      <c r="D5" s="15" t="n">
        <v>6200</v>
      </c>
      <c r="E5" s="15" t="n">
        <v>480</v>
      </c>
      <c r="F5" s="37" t="n">
        <f aca="false">D5+E5</f>
        <v>6680</v>
      </c>
      <c r="G5" s="18" t="n">
        <f aca="false">IF(C5=0,"-",F5/C5)</f>
        <v>0.785882352941177</v>
      </c>
    </row>
    <row r="6" customFormat="false" ht="18" hidden="false" customHeight="true" outlineLevel="0" collapsed="false">
      <c r="B6" s="14" t="s">
        <v>97</v>
      </c>
      <c r="C6" s="19" t="n">
        <v>4200</v>
      </c>
      <c r="D6" s="19" t="n">
        <v>3350</v>
      </c>
      <c r="E6" s="19" t="n">
        <v>270</v>
      </c>
      <c r="F6" s="38" t="n">
        <f aca="false">D6+E6</f>
        <v>3620</v>
      </c>
      <c r="G6" s="22" t="n">
        <f aca="false">IF(C6=0,"-",F6/C6)</f>
        <v>0.861904761904762</v>
      </c>
    </row>
    <row r="7" customFormat="false" ht="18" hidden="false" customHeight="true" outlineLevel="0" collapsed="false">
      <c r="B7" s="14" t="s">
        <v>98</v>
      </c>
      <c r="C7" s="15" t="n">
        <v>12800</v>
      </c>
      <c r="D7" s="15" t="n">
        <v>10900</v>
      </c>
      <c r="E7" s="15" t="n">
        <v>890</v>
      </c>
      <c r="F7" s="37" t="n">
        <f aca="false">D7+E7</f>
        <v>11790</v>
      </c>
      <c r="G7" s="18" t="n">
        <f aca="false">IF(C7=0,"-",F7/C7)</f>
        <v>0.92109375</v>
      </c>
    </row>
    <row r="8" customFormat="false" ht="18" hidden="false" customHeight="true" outlineLevel="0" collapsed="false">
      <c r="B8" s="14" t="s">
        <v>99</v>
      </c>
      <c r="C8" s="19" t="n">
        <v>22000</v>
      </c>
      <c r="D8" s="19" t="n">
        <v>19500</v>
      </c>
      <c r="E8" s="19" t="n">
        <v>1600</v>
      </c>
      <c r="F8" s="38" t="n">
        <f aca="false">D8+E8</f>
        <v>21100</v>
      </c>
      <c r="G8" s="22" t="n">
        <f aca="false">IF(C8=0,"-",F8/C8)</f>
        <v>0.959090909090909</v>
      </c>
    </row>
    <row r="9" customFormat="false" ht="18" hidden="false" customHeight="true" outlineLevel="0" collapsed="false">
      <c r="B9" s="14" t="s">
        <v>100</v>
      </c>
      <c r="C9" s="15" t="n">
        <v>3100</v>
      </c>
      <c r="D9" s="15" t="n">
        <v>2650</v>
      </c>
      <c r="E9" s="15" t="n">
        <v>185</v>
      </c>
      <c r="F9" s="37" t="n">
        <f aca="false">D9+E9</f>
        <v>2835</v>
      </c>
      <c r="G9" s="18" t="n">
        <f aca="false">IF(C9=0,"-",F9/C9)</f>
        <v>0.914516129032258</v>
      </c>
    </row>
    <row r="10" customFormat="false" ht="19.5" hidden="false" customHeight="true" outlineLevel="0" collapsed="false">
      <c r="B10" s="14" t="s">
        <v>70</v>
      </c>
      <c r="C10" s="23" t="n">
        <f aca="false">SUM(C5:C9)</f>
        <v>50600</v>
      </c>
      <c r="D10" s="23" t="n">
        <f aca="false">SUM(D5:D9)</f>
        <v>42600</v>
      </c>
      <c r="E10" s="23" t="n">
        <f aca="false">SUM(E5:E9)</f>
        <v>3425</v>
      </c>
      <c r="F10" s="23" t="n">
        <f aca="false">SUM(F5:F9)</f>
        <v>46025</v>
      </c>
      <c r="G10" s="26" t="n">
        <f aca="false">IF(C10=0,"-",F10/C10)</f>
        <v>0.909584980237154</v>
      </c>
    </row>
    <row r="12" customFormat="false" ht="21.75" hidden="false" customHeight="true" outlineLevel="0" collapsed="false">
      <c r="B12" s="12" t="s">
        <v>101</v>
      </c>
      <c r="C12" s="12"/>
      <c r="D12" s="12"/>
      <c r="E12" s="12"/>
      <c r="F12" s="12"/>
      <c r="G12" s="12"/>
    </row>
    <row r="13" customFormat="false" ht="36" hidden="false" customHeight="true" outlineLevel="0" collapsed="false">
      <c r="B13" s="13" t="s">
        <v>102</v>
      </c>
      <c r="C13" s="13" t="s">
        <v>103</v>
      </c>
      <c r="D13" s="13" t="s">
        <v>104</v>
      </c>
      <c r="E13" s="13" t="s">
        <v>105</v>
      </c>
      <c r="F13" s="13" t="s">
        <v>106</v>
      </c>
      <c r="G13" s="13" t="s">
        <v>107</v>
      </c>
    </row>
    <row r="14" customFormat="false" ht="18" hidden="false" customHeight="true" outlineLevel="0" collapsed="false">
      <c r="B14" s="14" t="n">
        <v>2020</v>
      </c>
      <c r="C14" s="15" t="n">
        <v>4200</v>
      </c>
      <c r="D14" s="39" t="n">
        <v>0.5</v>
      </c>
      <c r="E14" s="37" t="n">
        <f aca="false">C14*D14</f>
        <v>2100</v>
      </c>
      <c r="F14" s="39" t="n">
        <v>0.1</v>
      </c>
      <c r="G14" s="37" t="n">
        <f aca="false">C14*F14</f>
        <v>420</v>
      </c>
    </row>
    <row r="15" customFormat="false" ht="18" hidden="false" customHeight="true" outlineLevel="0" collapsed="false">
      <c r="B15" s="14" t="n">
        <v>2021</v>
      </c>
      <c r="C15" s="19" t="n">
        <v>4650</v>
      </c>
      <c r="D15" s="40" t="n">
        <v>0.5</v>
      </c>
      <c r="E15" s="38" t="n">
        <f aca="false">C15*D15</f>
        <v>2325</v>
      </c>
      <c r="F15" s="40" t="n">
        <v>0.1</v>
      </c>
      <c r="G15" s="38" t="n">
        <f aca="false">C15*F15</f>
        <v>465</v>
      </c>
    </row>
    <row r="16" customFormat="false" ht="18" hidden="false" customHeight="true" outlineLevel="0" collapsed="false">
      <c r="B16" s="14" t="n">
        <v>2022</v>
      </c>
      <c r="C16" s="15" t="n">
        <v>5100</v>
      </c>
      <c r="D16" s="39" t="n">
        <v>0.5</v>
      </c>
      <c r="E16" s="37" t="n">
        <f aca="false">C16*D16</f>
        <v>2550</v>
      </c>
      <c r="F16" s="39" t="n">
        <v>0.1</v>
      </c>
      <c r="G16" s="37" t="n">
        <f aca="false">C16*F16</f>
        <v>510</v>
      </c>
    </row>
    <row r="17" customFormat="false" ht="18" hidden="false" customHeight="true" outlineLevel="0" collapsed="false">
      <c r="B17" s="14" t="n">
        <v>2023</v>
      </c>
      <c r="C17" s="19" t="n">
        <v>5800</v>
      </c>
      <c r="D17" s="40" t="n">
        <v>0.5</v>
      </c>
      <c r="E17" s="38" t="n">
        <f aca="false">C17*D17</f>
        <v>2900</v>
      </c>
      <c r="F17" s="40" t="n">
        <v>0.1</v>
      </c>
      <c r="G17" s="38" t="n">
        <f aca="false">C17*F17</f>
        <v>580</v>
      </c>
    </row>
    <row r="18" customFormat="false" ht="18" hidden="false" customHeight="true" outlineLevel="0" collapsed="false">
      <c r="B18" s="14" t="n">
        <v>2024</v>
      </c>
      <c r="C18" s="15" t="n">
        <v>6200</v>
      </c>
      <c r="D18" s="39" t="n">
        <v>0.5</v>
      </c>
      <c r="E18" s="37" t="n">
        <f aca="false">C18*D18</f>
        <v>3100</v>
      </c>
      <c r="F18" s="39" t="n">
        <v>0.1</v>
      </c>
      <c r="G18" s="37" t="n">
        <f aca="false">C18*F18</f>
        <v>620</v>
      </c>
    </row>
    <row r="20" customFormat="false" ht="19.5" hidden="false" customHeight="true" outlineLevel="0" collapsed="false">
      <c r="B20" s="27" t="s">
        <v>108</v>
      </c>
      <c r="C20" s="27"/>
      <c r="D20" s="27"/>
      <c r="E20" s="27"/>
      <c r="F20" s="27"/>
      <c r="G20" s="27"/>
    </row>
    <row r="21" customFormat="false" ht="18" hidden="false" customHeight="true" outlineLevel="0" collapsed="false">
      <c r="B21" s="14" t="s">
        <v>109</v>
      </c>
      <c r="C21" s="28" t="s">
        <v>110</v>
      </c>
      <c r="D21" s="28"/>
      <c r="E21" s="28"/>
      <c r="F21" s="28"/>
      <c r="G21" s="28"/>
    </row>
    <row r="22" customFormat="false" ht="18" hidden="false" customHeight="true" outlineLevel="0" collapsed="false">
      <c r="B22" s="14" t="s">
        <v>111</v>
      </c>
      <c r="C22" s="29" t="s">
        <v>112</v>
      </c>
      <c r="D22" s="29"/>
      <c r="E22" s="29"/>
      <c r="F22" s="29"/>
      <c r="G22" s="29"/>
    </row>
    <row r="23" customFormat="false" ht="18" hidden="false" customHeight="true" outlineLevel="0" collapsed="false">
      <c r="B23" s="14" t="s">
        <v>113</v>
      </c>
      <c r="C23" s="28" t="s">
        <v>114</v>
      </c>
      <c r="D23" s="28"/>
      <c r="E23" s="28"/>
      <c r="F23" s="28"/>
      <c r="G23" s="28"/>
    </row>
    <row r="24" customFormat="false" ht="18" hidden="false" customHeight="true" outlineLevel="0" collapsed="false">
      <c r="B24" s="14" t="s">
        <v>115</v>
      </c>
      <c r="C24" s="29" t="s">
        <v>116</v>
      </c>
      <c r="D24" s="29"/>
      <c r="E24" s="29"/>
      <c r="F24" s="29"/>
      <c r="G24" s="29"/>
    </row>
    <row r="25" customFormat="false" ht="18" hidden="false" customHeight="true" outlineLevel="0" collapsed="false">
      <c r="B25" s="14" t="s">
        <v>117</v>
      </c>
      <c r="C25" s="28" t="s">
        <v>118</v>
      </c>
      <c r="D25" s="28"/>
      <c r="E25" s="28"/>
      <c r="F25" s="28"/>
      <c r="G25" s="28"/>
    </row>
    <row r="26" customFormat="false" ht="18" hidden="false" customHeight="true" outlineLevel="0" collapsed="false">
      <c r="B26" s="14" t="s">
        <v>119</v>
      </c>
      <c r="C26" s="29" t="s">
        <v>120</v>
      </c>
      <c r="D26" s="29"/>
      <c r="E26" s="29"/>
      <c r="F26" s="29"/>
      <c r="G26" s="29"/>
    </row>
  </sheetData>
  <mergeCells count="10">
    <mergeCell ref="B1:G1"/>
    <mergeCell ref="B3:G3"/>
    <mergeCell ref="B12:G12"/>
    <mergeCell ref="B20:G20"/>
    <mergeCell ref="C21:G21"/>
    <mergeCell ref="C22:G22"/>
    <mergeCell ref="C23:G23"/>
    <mergeCell ref="C24:G24"/>
    <mergeCell ref="C25:G25"/>
    <mergeCell ref="C26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9" min="3" style="0" width="13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0" t="s">
        <v>121</v>
      </c>
      <c r="C1" s="10"/>
      <c r="D1" s="10"/>
      <c r="E1" s="10"/>
      <c r="F1" s="10"/>
      <c r="G1" s="10"/>
      <c r="H1" s="10"/>
      <c r="I1" s="10"/>
    </row>
    <row r="3" customFormat="false" ht="21.75" hidden="false" customHeight="true" outlineLevel="0" collapsed="false">
      <c r="B3" s="12" t="s">
        <v>122</v>
      </c>
      <c r="C3" s="12"/>
      <c r="D3" s="12"/>
      <c r="E3" s="12"/>
      <c r="F3" s="12"/>
      <c r="G3" s="12"/>
      <c r="H3" s="12"/>
      <c r="I3" s="12"/>
    </row>
    <row r="4" customFormat="false" ht="18" hidden="false" customHeight="true" outlineLevel="0" collapsed="false">
      <c r="B4" s="14" t="s">
        <v>123</v>
      </c>
      <c r="C4" s="41" t="s">
        <v>124</v>
      </c>
      <c r="D4" s="41" t="s">
        <v>125</v>
      </c>
      <c r="E4" s="41" t="s">
        <v>126</v>
      </c>
      <c r="F4" s="41" t="s">
        <v>127</v>
      </c>
      <c r="G4" s="41" t="s">
        <v>128</v>
      </c>
    </row>
    <row r="5" customFormat="false" ht="18" hidden="false" customHeight="true" outlineLevel="0" collapsed="false">
      <c r="B5" s="14" t="s">
        <v>129</v>
      </c>
      <c r="C5" s="42" t="n">
        <v>0.37</v>
      </c>
      <c r="D5" s="42" t="n">
        <v>0.68</v>
      </c>
      <c r="E5" s="42" t="n">
        <v>0.89</v>
      </c>
      <c r="F5" s="42" t="n">
        <v>0.97</v>
      </c>
      <c r="G5" s="42" t="n">
        <v>1</v>
      </c>
    </row>
    <row r="7" customFormat="false" ht="21.75" hidden="false" customHeight="true" outlineLevel="0" collapsed="false">
      <c r="B7" s="12" t="s">
        <v>130</v>
      </c>
      <c r="C7" s="12"/>
      <c r="D7" s="12"/>
      <c r="E7" s="12"/>
      <c r="F7" s="12"/>
      <c r="G7" s="12"/>
      <c r="H7" s="12"/>
      <c r="I7" s="12"/>
    </row>
    <row r="8" customFormat="false" ht="36" hidden="false" customHeight="true" outlineLevel="0" collapsed="false">
      <c r="B8" s="13" t="s">
        <v>131</v>
      </c>
      <c r="C8" s="13" t="s">
        <v>132</v>
      </c>
      <c r="D8" s="13" t="s">
        <v>133</v>
      </c>
      <c r="E8" s="13" t="s">
        <v>134</v>
      </c>
      <c r="F8" s="13" t="s">
        <v>135</v>
      </c>
      <c r="G8" s="13" t="s">
        <v>136</v>
      </c>
      <c r="H8" s="13" t="s">
        <v>137</v>
      </c>
    </row>
    <row r="9" customFormat="false" ht="18" hidden="false" customHeight="true" outlineLevel="0" collapsed="false">
      <c r="B9" s="14" t="s">
        <v>138</v>
      </c>
      <c r="C9" s="15" t="n">
        <v>795</v>
      </c>
      <c r="D9" s="15" t="n">
        <v>158</v>
      </c>
      <c r="E9" s="43" t="n">
        <v>4</v>
      </c>
      <c r="F9" s="44" t="n">
        <f aca="false">G5</f>
        <v>1</v>
      </c>
      <c r="G9" s="17" t="n">
        <f aca="false">IF(F9=0,D9,D9/F9)</f>
        <v>158</v>
      </c>
      <c r="H9" s="18" t="n">
        <f aca="false">IF(C9=0,"-",G9/C9)</f>
        <v>0.19874213836478</v>
      </c>
    </row>
    <row r="10" customFormat="false" ht="18" hidden="false" customHeight="true" outlineLevel="0" collapsed="false">
      <c r="B10" s="14" t="s">
        <v>139</v>
      </c>
      <c r="C10" s="19" t="n">
        <v>806</v>
      </c>
      <c r="D10" s="19" t="n">
        <v>163</v>
      </c>
      <c r="E10" s="45" t="n">
        <v>4</v>
      </c>
      <c r="F10" s="46" t="n">
        <f aca="false">G5</f>
        <v>1</v>
      </c>
      <c r="G10" s="21" t="n">
        <f aca="false">IF(F10=0,D10,D10/F10)</f>
        <v>163</v>
      </c>
      <c r="H10" s="22" t="n">
        <f aca="false">IF(C10=0,"-",G10/C10)</f>
        <v>0.202233250620347</v>
      </c>
    </row>
    <row r="11" customFormat="false" ht="18" hidden="false" customHeight="true" outlineLevel="0" collapsed="false">
      <c r="B11" s="14" t="s">
        <v>140</v>
      </c>
      <c r="C11" s="15" t="n">
        <v>853</v>
      </c>
      <c r="D11" s="15" t="n">
        <v>159</v>
      </c>
      <c r="E11" s="43" t="n">
        <v>4</v>
      </c>
      <c r="F11" s="44" t="n">
        <f aca="false">G5</f>
        <v>1</v>
      </c>
      <c r="G11" s="17" t="n">
        <f aca="false">IF(F11=0,D11,D11/F11)</f>
        <v>159</v>
      </c>
      <c r="H11" s="18" t="n">
        <f aca="false">IF(C11=0,"-",G11/C11)</f>
        <v>0.186400937866354</v>
      </c>
    </row>
    <row r="12" customFormat="false" ht="18" hidden="false" customHeight="true" outlineLevel="0" collapsed="false">
      <c r="B12" s="14" t="s">
        <v>141</v>
      </c>
      <c r="C12" s="19" t="n">
        <v>602</v>
      </c>
      <c r="D12" s="19" t="n">
        <v>101</v>
      </c>
      <c r="E12" s="45" t="n">
        <v>4</v>
      </c>
      <c r="F12" s="46" t="n">
        <f aca="false">G5</f>
        <v>1</v>
      </c>
      <c r="G12" s="21" t="n">
        <f aca="false">IF(F12=0,D12,D12/F12)</f>
        <v>101</v>
      </c>
      <c r="H12" s="22" t="n">
        <f aca="false">IF(C12=0,"-",G12/C12)</f>
        <v>0.167774086378738</v>
      </c>
    </row>
    <row r="13" customFormat="false" ht="18" hidden="false" customHeight="true" outlineLevel="0" collapsed="false">
      <c r="B13" s="14" t="s">
        <v>142</v>
      </c>
      <c r="C13" s="15" t="n">
        <v>945</v>
      </c>
      <c r="D13" s="15" t="n">
        <v>163</v>
      </c>
      <c r="E13" s="43" t="n">
        <v>4</v>
      </c>
      <c r="F13" s="44" t="n">
        <f aca="false">G5</f>
        <v>1</v>
      </c>
      <c r="G13" s="17" t="n">
        <f aca="false">IF(F13=0,D13,D13/F13)</f>
        <v>163</v>
      </c>
      <c r="H13" s="18" t="n">
        <f aca="false">IF(C13=0,"-",G13/C13)</f>
        <v>0.172486772486773</v>
      </c>
    </row>
    <row r="14" customFormat="false" ht="18" hidden="false" customHeight="true" outlineLevel="0" collapsed="false">
      <c r="B14" s="14" t="s">
        <v>143</v>
      </c>
      <c r="C14" s="19" t="n">
        <v>791</v>
      </c>
      <c r="D14" s="19" t="n">
        <v>223</v>
      </c>
      <c r="E14" s="45" t="n">
        <v>3</v>
      </c>
      <c r="F14" s="46" t="n">
        <f aca="false">F5</f>
        <v>0.97</v>
      </c>
      <c r="G14" s="21" t="n">
        <f aca="false">IF(F14=0,D14,D14/F14)</f>
        <v>229.896907216495</v>
      </c>
      <c r="H14" s="22" t="n">
        <f aca="false">IF(C14=0,"-",G14/C14)</f>
        <v>0.290640843510107</v>
      </c>
    </row>
    <row r="15" customFormat="false" ht="18" hidden="false" customHeight="true" outlineLevel="0" collapsed="false">
      <c r="B15" s="14" t="s">
        <v>144</v>
      </c>
      <c r="C15" s="15" t="n">
        <v>812</v>
      </c>
      <c r="D15" s="15" t="n">
        <v>218</v>
      </c>
      <c r="E15" s="43" t="n">
        <v>2</v>
      </c>
      <c r="F15" s="44" t="n">
        <f aca="false">E5</f>
        <v>0.89</v>
      </c>
      <c r="G15" s="17" t="n">
        <f aca="false">IF(F15=0,D15,D15/F15)</f>
        <v>244.943820224719</v>
      </c>
      <c r="H15" s="18" t="n">
        <f aca="false">IF(C15=0,"-",G15/C15)</f>
        <v>0.301654951015664</v>
      </c>
    </row>
    <row r="16" customFormat="false" ht="18" hidden="false" customHeight="true" outlineLevel="0" collapsed="false">
      <c r="B16" s="14" t="s">
        <v>145</v>
      </c>
      <c r="C16" s="19" t="n">
        <v>880</v>
      </c>
      <c r="D16" s="19" t="n">
        <v>177</v>
      </c>
      <c r="E16" s="45" t="n">
        <v>1</v>
      </c>
      <c r="F16" s="46" t="n">
        <f aca="false">D5</f>
        <v>0.68</v>
      </c>
      <c r="G16" s="21" t="n">
        <f aca="false">IF(F16=0,D16,D16/F16)</f>
        <v>260.294117647059</v>
      </c>
      <c r="H16" s="22" t="n">
        <f aca="false">IF(C16=0,"-",G16/C16)</f>
        <v>0.295788770053476</v>
      </c>
    </row>
    <row r="17" customFormat="false" ht="18" hidden="false" customHeight="true" outlineLevel="0" collapsed="false">
      <c r="B17" s="14" t="s">
        <v>146</v>
      </c>
      <c r="C17" s="15" t="n">
        <v>853</v>
      </c>
      <c r="D17" s="15" t="n">
        <v>104</v>
      </c>
      <c r="E17" s="43" t="n">
        <v>0</v>
      </c>
      <c r="F17" s="44" t="n">
        <f aca="false">C5</f>
        <v>0.37</v>
      </c>
      <c r="G17" s="17" t="n">
        <f aca="false">IF(F17=0,D17,D17/F17)</f>
        <v>281.081081081081</v>
      </c>
      <c r="H17" s="18" t="n">
        <f aca="false">IF(C17=0,"-",G17/C17)</f>
        <v>0.329520610880517</v>
      </c>
    </row>
    <row r="20" customFormat="false" ht="19.5" hidden="false" customHeight="true" outlineLevel="0" collapsed="false">
      <c r="B20" s="27" t="s">
        <v>71</v>
      </c>
      <c r="C20" s="27"/>
      <c r="D20" s="27"/>
      <c r="E20" s="27"/>
      <c r="F20" s="27"/>
      <c r="G20" s="27"/>
      <c r="H20" s="27"/>
      <c r="I20" s="27"/>
    </row>
    <row r="21" customFormat="false" ht="18" hidden="false" customHeight="true" outlineLevel="0" collapsed="false">
      <c r="B21" s="14" t="s">
        <v>147</v>
      </c>
      <c r="C21" s="28" t="s">
        <v>148</v>
      </c>
      <c r="D21" s="28"/>
      <c r="E21" s="28"/>
      <c r="F21" s="28"/>
      <c r="G21" s="28"/>
      <c r="H21" s="28"/>
      <c r="I21" s="28"/>
    </row>
    <row r="22" customFormat="false" ht="18" hidden="false" customHeight="true" outlineLevel="0" collapsed="false">
      <c r="B22" s="14" t="s">
        <v>149</v>
      </c>
      <c r="C22" s="29" t="s">
        <v>150</v>
      </c>
      <c r="D22" s="29"/>
      <c r="E22" s="29"/>
      <c r="F22" s="29"/>
      <c r="G22" s="29"/>
      <c r="H22" s="29"/>
      <c r="I22" s="29"/>
    </row>
    <row r="23" customFormat="false" ht="18" hidden="false" customHeight="true" outlineLevel="0" collapsed="false">
      <c r="B23" s="14" t="s">
        <v>151</v>
      </c>
      <c r="C23" s="28" t="s">
        <v>152</v>
      </c>
      <c r="D23" s="28"/>
      <c r="E23" s="28"/>
      <c r="F23" s="28"/>
      <c r="G23" s="28"/>
      <c r="H23" s="28"/>
      <c r="I23" s="28"/>
    </row>
    <row r="24" customFormat="false" ht="18" hidden="false" customHeight="true" outlineLevel="0" collapsed="false">
      <c r="B24" s="14" t="s">
        <v>153</v>
      </c>
      <c r="C24" s="29" t="s">
        <v>154</v>
      </c>
      <c r="D24" s="29"/>
      <c r="E24" s="29"/>
      <c r="F24" s="29"/>
      <c r="G24" s="29"/>
      <c r="H24" s="29"/>
      <c r="I24" s="29"/>
    </row>
    <row r="25" customFormat="false" ht="18" hidden="false" customHeight="true" outlineLevel="0" collapsed="false">
      <c r="B25" s="14" t="s">
        <v>155</v>
      </c>
      <c r="C25" s="28" t="s">
        <v>156</v>
      </c>
      <c r="D25" s="28"/>
      <c r="E25" s="28"/>
      <c r="F25" s="28"/>
      <c r="G25" s="28"/>
      <c r="H25" s="28"/>
      <c r="I25" s="28"/>
    </row>
    <row r="26" customFormat="false" ht="18" hidden="false" customHeight="true" outlineLevel="0" collapsed="false">
      <c r="B26" s="14" t="s">
        <v>157</v>
      </c>
      <c r="C26" s="29" t="s">
        <v>158</v>
      </c>
      <c r="D26" s="29"/>
      <c r="E26" s="29"/>
      <c r="F26" s="29"/>
      <c r="G26" s="29"/>
      <c r="H26" s="29"/>
      <c r="I26" s="29"/>
    </row>
    <row r="27" customFormat="false" ht="18" hidden="false" customHeight="true" outlineLevel="0" collapsed="false">
      <c r="B27" s="14" t="s">
        <v>159</v>
      </c>
      <c r="C27" s="28" t="s">
        <v>160</v>
      </c>
      <c r="D27" s="28"/>
      <c r="E27" s="28"/>
      <c r="F27" s="28"/>
      <c r="G27" s="28"/>
      <c r="H27" s="28"/>
      <c r="I27" s="28"/>
    </row>
  </sheetData>
  <mergeCells count="11">
    <mergeCell ref="B1:I1"/>
    <mergeCell ref="B3:I3"/>
    <mergeCell ref="B7:I7"/>
    <mergeCell ref="B20:I20"/>
    <mergeCell ref="C21:I21"/>
    <mergeCell ref="C22:I22"/>
    <mergeCell ref="C23:I23"/>
    <mergeCell ref="C24:I24"/>
    <mergeCell ref="C25:I25"/>
    <mergeCell ref="C26:I26"/>
    <mergeCell ref="C27:I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8" min="3" style="0" width="1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0" t="s">
        <v>161</v>
      </c>
      <c r="C1" s="10"/>
      <c r="D1" s="10"/>
      <c r="E1" s="10"/>
      <c r="F1" s="10"/>
      <c r="G1" s="10"/>
      <c r="H1" s="10"/>
    </row>
    <row r="2" customFormat="false" ht="21.75" hidden="false" customHeight="true" outlineLevel="0" collapsed="false">
      <c r="B2" s="12" t="s">
        <v>162</v>
      </c>
      <c r="C2" s="12"/>
      <c r="D2" s="12"/>
      <c r="E2" s="12"/>
      <c r="F2" s="12"/>
      <c r="G2" s="12"/>
      <c r="H2" s="12"/>
    </row>
    <row r="3" customFormat="false" ht="36" hidden="false" customHeight="true" outlineLevel="0" collapsed="false">
      <c r="B3" s="13" t="s">
        <v>163</v>
      </c>
      <c r="C3" s="13" t="s">
        <v>164</v>
      </c>
      <c r="D3" s="13" t="s">
        <v>165</v>
      </c>
      <c r="E3" s="13" t="s">
        <v>166</v>
      </c>
      <c r="F3" s="13" t="s">
        <v>167</v>
      </c>
      <c r="G3" s="13" t="s">
        <v>168</v>
      </c>
      <c r="H3" s="13" t="s">
        <v>169</v>
      </c>
    </row>
    <row r="4" customFormat="false" ht="18" hidden="false" customHeight="true" outlineLevel="0" collapsed="false">
      <c r="B4" s="14" t="s">
        <v>170</v>
      </c>
      <c r="C4" s="15" t="n">
        <v>1200</v>
      </c>
      <c r="D4" s="15" t="n">
        <v>1350</v>
      </c>
      <c r="E4" s="47" t="n">
        <f aca="false">D4-C4</f>
        <v>150</v>
      </c>
      <c r="F4" s="48" t="n">
        <f aca="false">IF(C4=0,"-",E4/C4)</f>
        <v>0.125</v>
      </c>
      <c r="G4" s="49" t="s">
        <v>171</v>
      </c>
      <c r="H4" s="50" t="s">
        <v>172</v>
      </c>
    </row>
    <row r="5" customFormat="false" ht="18" hidden="false" customHeight="true" outlineLevel="0" collapsed="false">
      <c r="B5" s="14" t="s">
        <v>173</v>
      </c>
      <c r="C5" s="19" t="n">
        <v>2800</v>
      </c>
      <c r="D5" s="19" t="n">
        <v>2910</v>
      </c>
      <c r="E5" s="51" t="n">
        <f aca="false">D5-C5</f>
        <v>110</v>
      </c>
      <c r="F5" s="52" t="n">
        <f aca="false">IF(C5=0,"-",E5/C5)</f>
        <v>0.0392857142857143</v>
      </c>
      <c r="G5" s="53" t="s">
        <v>171</v>
      </c>
      <c r="H5" s="54" t="s">
        <v>174</v>
      </c>
    </row>
    <row r="6" customFormat="false" ht="18" hidden="false" customHeight="true" outlineLevel="0" collapsed="false">
      <c r="B6" s="14" t="s">
        <v>175</v>
      </c>
      <c r="C6" s="15" t="n">
        <v>1800</v>
      </c>
      <c r="D6" s="15" t="n">
        <v>2050</v>
      </c>
      <c r="E6" s="47" t="n">
        <f aca="false">D6-C6</f>
        <v>250</v>
      </c>
      <c r="F6" s="48" t="n">
        <f aca="false">IF(C6=0,"-",E6/C6)</f>
        <v>0.138888888888889</v>
      </c>
      <c r="G6" s="49" t="s">
        <v>171</v>
      </c>
      <c r="H6" s="50" t="s">
        <v>176</v>
      </c>
    </row>
    <row r="7" customFormat="false" ht="18" hidden="false" customHeight="true" outlineLevel="0" collapsed="false">
      <c r="B7" s="14" t="s">
        <v>177</v>
      </c>
      <c r="C7" s="19" t="n">
        <v>320</v>
      </c>
      <c r="D7" s="19" t="n">
        <v>295</v>
      </c>
      <c r="E7" s="51" t="n">
        <f aca="false">D7-C7</f>
        <v>-25</v>
      </c>
      <c r="F7" s="52" t="n">
        <f aca="false">IF(C7=0,"-",E7/C7)</f>
        <v>-0.078125</v>
      </c>
      <c r="G7" s="53" t="s">
        <v>171</v>
      </c>
      <c r="H7" s="54" t="s">
        <v>178</v>
      </c>
    </row>
    <row r="8" customFormat="false" ht="18" hidden="false" customHeight="true" outlineLevel="0" collapsed="false">
      <c r="B8" s="14" t="s">
        <v>179</v>
      </c>
      <c r="C8" s="15" t="n">
        <v>480</v>
      </c>
      <c r="D8" s="15" t="n">
        <v>490</v>
      </c>
      <c r="E8" s="47" t="n">
        <f aca="false">D8-C8</f>
        <v>10</v>
      </c>
      <c r="F8" s="48" t="n">
        <f aca="false">IF(C8=0,"-",E8/C8)</f>
        <v>0.0208333333333333</v>
      </c>
      <c r="G8" s="49" t="s">
        <v>180</v>
      </c>
      <c r="H8" s="50" t="s">
        <v>181</v>
      </c>
    </row>
    <row r="9" customFormat="false" ht="18" hidden="false" customHeight="true" outlineLevel="0" collapsed="false">
      <c r="B9" s="14" t="s">
        <v>182</v>
      </c>
      <c r="C9" s="19" t="n">
        <v>950</v>
      </c>
      <c r="D9" s="19" t="n">
        <v>1120</v>
      </c>
      <c r="E9" s="51" t="n">
        <f aca="false">D9-C9</f>
        <v>170</v>
      </c>
      <c r="F9" s="52" t="n">
        <f aca="false">IF(C9=0,"-",E9/C9)</f>
        <v>0.178947368421053</v>
      </c>
      <c r="G9" s="53" t="s">
        <v>180</v>
      </c>
      <c r="H9" s="54" t="s">
        <v>183</v>
      </c>
    </row>
    <row r="10" customFormat="false" ht="18" hidden="false" customHeight="true" outlineLevel="0" collapsed="false">
      <c r="B10" s="14" t="s">
        <v>184</v>
      </c>
      <c r="C10" s="15" t="n">
        <v>620</v>
      </c>
      <c r="D10" s="15" t="n">
        <v>680</v>
      </c>
      <c r="E10" s="47" t="n">
        <f aca="false">D10-C10</f>
        <v>60</v>
      </c>
      <c r="F10" s="48" t="n">
        <f aca="false">IF(C10=0,"-",E10/C10)</f>
        <v>0.0967741935483871</v>
      </c>
      <c r="G10" s="49" t="s">
        <v>180</v>
      </c>
      <c r="H10" s="50" t="s">
        <v>185</v>
      </c>
    </row>
    <row r="11" customFormat="false" ht="18" hidden="false" customHeight="true" outlineLevel="0" collapsed="false">
      <c r="B11" s="14" t="s">
        <v>186</v>
      </c>
      <c r="C11" s="19" t="n">
        <v>1100</v>
      </c>
      <c r="D11" s="19" t="n">
        <v>1080</v>
      </c>
      <c r="E11" s="51" t="n">
        <f aca="false">D11-C11</f>
        <v>-20</v>
      </c>
      <c r="F11" s="52" t="n">
        <f aca="false">IF(C11=0,"-",E11/C11)</f>
        <v>-0.0181818181818182</v>
      </c>
      <c r="G11" s="53" t="s">
        <v>180</v>
      </c>
      <c r="H11" s="54" t="s">
        <v>187</v>
      </c>
    </row>
    <row r="12" customFormat="false" ht="19.5" hidden="false" customHeight="true" outlineLevel="0" collapsed="false">
      <c r="B12" s="14" t="s">
        <v>70</v>
      </c>
      <c r="C12" s="23" t="n">
        <f aca="false">SUM(C4:C11)</f>
        <v>9270</v>
      </c>
      <c r="D12" s="23" t="n">
        <f aca="false">SUM(D4:D11)</f>
        <v>9975</v>
      </c>
      <c r="E12" s="55" t="n">
        <f aca="false">D12-C12</f>
        <v>705</v>
      </c>
      <c r="F12" s="56" t="n">
        <f aca="false">IF(C12=0,"-",E12/C12)</f>
        <v>0.0760517799352751</v>
      </c>
      <c r="G12" s="24"/>
      <c r="H12" s="24"/>
    </row>
    <row r="14" customFormat="false" ht="19.5" hidden="false" customHeight="true" outlineLevel="0" collapsed="false">
      <c r="B14" s="27" t="s">
        <v>188</v>
      </c>
      <c r="C14" s="27"/>
      <c r="D14" s="27"/>
      <c r="E14" s="27"/>
      <c r="F14" s="27"/>
      <c r="G14" s="27"/>
      <c r="H14" s="27"/>
    </row>
    <row r="15" customFormat="false" ht="18" hidden="false" customHeight="true" outlineLevel="0" collapsed="false">
      <c r="B15" s="14" t="s">
        <v>189</v>
      </c>
      <c r="C15" s="28" t="s">
        <v>190</v>
      </c>
      <c r="D15" s="28"/>
      <c r="E15" s="28"/>
      <c r="F15" s="28"/>
      <c r="G15" s="28"/>
      <c r="H15" s="28"/>
    </row>
    <row r="16" customFormat="false" ht="18" hidden="false" customHeight="true" outlineLevel="0" collapsed="false">
      <c r="B16" s="14" t="s">
        <v>191</v>
      </c>
      <c r="C16" s="29" t="s">
        <v>192</v>
      </c>
      <c r="D16" s="29"/>
      <c r="E16" s="29"/>
      <c r="F16" s="29"/>
      <c r="G16" s="29"/>
      <c r="H16" s="29"/>
    </row>
    <row r="17" customFormat="false" ht="18" hidden="false" customHeight="true" outlineLevel="0" collapsed="false">
      <c r="B17" s="14" t="s">
        <v>193</v>
      </c>
      <c r="C17" s="28" t="s">
        <v>194</v>
      </c>
      <c r="D17" s="28"/>
      <c r="E17" s="28"/>
      <c r="F17" s="28"/>
      <c r="G17" s="28"/>
      <c r="H17" s="28"/>
    </row>
    <row r="18" customFormat="false" ht="18" hidden="false" customHeight="true" outlineLevel="0" collapsed="false">
      <c r="B18" s="14" t="s">
        <v>195</v>
      </c>
      <c r="C18" s="29" t="s">
        <v>196</v>
      </c>
      <c r="D18" s="29"/>
      <c r="E18" s="29"/>
      <c r="F18" s="29"/>
      <c r="G18" s="29"/>
      <c r="H18" s="29"/>
    </row>
    <row r="19" customFormat="false" ht="18" hidden="false" customHeight="true" outlineLevel="0" collapsed="false">
      <c r="B19" s="14" t="s">
        <v>197</v>
      </c>
      <c r="C19" s="28" t="s">
        <v>198</v>
      </c>
      <c r="D19" s="28"/>
      <c r="E19" s="28"/>
      <c r="F19" s="28"/>
      <c r="G19" s="28"/>
      <c r="H19" s="28"/>
    </row>
    <row r="20" customFormat="false" ht="18" hidden="false" customHeight="true" outlineLevel="0" collapsed="false">
      <c r="B20" s="14" t="s">
        <v>199</v>
      </c>
      <c r="C20" s="29" t="s">
        <v>200</v>
      </c>
      <c r="D20" s="29"/>
      <c r="E20" s="29"/>
      <c r="F20" s="29"/>
      <c r="G20" s="29"/>
      <c r="H20" s="29"/>
    </row>
    <row r="21" customFormat="false" ht="18" hidden="false" customHeight="true" outlineLevel="0" collapsed="false">
      <c r="B21" s="14" t="s">
        <v>201</v>
      </c>
      <c r="C21" s="28" t="s">
        <v>202</v>
      </c>
      <c r="D21" s="28"/>
      <c r="E21" s="28"/>
      <c r="F21" s="28"/>
      <c r="G21" s="28"/>
      <c r="H21" s="28"/>
    </row>
  </sheetData>
  <mergeCells count="10">
    <mergeCell ref="B1:H1"/>
    <mergeCell ref="B2:H2"/>
    <mergeCell ref="B14:H14"/>
    <mergeCell ref="C15:H15"/>
    <mergeCell ref="C16:H16"/>
    <mergeCell ref="C17:H17"/>
    <mergeCell ref="C18:H18"/>
    <mergeCell ref="C19:H19"/>
    <mergeCell ref="C20:H20"/>
    <mergeCell ref="C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9" min="3" style="0" width="13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0" t="s">
        <v>203</v>
      </c>
      <c r="C1" s="10"/>
      <c r="D1" s="10"/>
      <c r="E1" s="10"/>
      <c r="F1" s="10"/>
      <c r="G1" s="10"/>
      <c r="H1" s="10"/>
      <c r="I1" s="10"/>
    </row>
    <row r="3" customFormat="false" ht="21.75" hidden="false" customHeight="true" outlineLevel="0" collapsed="false">
      <c r="B3" s="12" t="s">
        <v>204</v>
      </c>
      <c r="C3" s="12"/>
      <c r="D3" s="12"/>
      <c r="E3" s="12"/>
      <c r="F3" s="12"/>
      <c r="G3" s="12"/>
      <c r="H3" s="12"/>
      <c r="I3" s="12"/>
    </row>
    <row r="4" customFormat="false" ht="36" hidden="false" customHeight="true" outlineLevel="0" collapsed="false">
      <c r="B4" s="13" t="s">
        <v>205</v>
      </c>
      <c r="C4" s="13" t="s">
        <v>206</v>
      </c>
      <c r="D4" s="13" t="s">
        <v>207</v>
      </c>
      <c r="E4" s="13" t="s">
        <v>208</v>
      </c>
      <c r="F4" s="13" t="s">
        <v>207</v>
      </c>
      <c r="G4" s="13" t="s">
        <v>209</v>
      </c>
      <c r="H4" s="13" t="s">
        <v>210</v>
      </c>
    </row>
    <row r="5" customFormat="false" ht="18" hidden="false" customHeight="true" outlineLevel="0" collapsed="false">
      <c r="B5" s="14" t="s">
        <v>211</v>
      </c>
      <c r="C5" s="15" t="n">
        <v>212564</v>
      </c>
      <c r="D5" s="18" t="n">
        <f aca="false">C5/SUM(C5:C8)</f>
        <v>0.613632099029166</v>
      </c>
      <c r="E5" s="57" t="n">
        <v>61.48</v>
      </c>
      <c r="F5" s="18" t="n">
        <f aca="false">E5/SUM(E5:E8)</f>
        <v>0.662328708092735</v>
      </c>
      <c r="G5" s="37" t="n">
        <f aca="false">IF(C5=0,"-",E5*1000000/C5)</f>
        <v>289.230537626315</v>
      </c>
      <c r="H5" s="50" t="s">
        <v>212</v>
      </c>
    </row>
    <row r="6" customFormat="false" ht="18" hidden="false" customHeight="true" outlineLevel="0" collapsed="false">
      <c r="B6" s="14" t="s">
        <v>213</v>
      </c>
      <c r="C6" s="19" t="n">
        <v>97437</v>
      </c>
      <c r="D6" s="22" t="n">
        <f aca="false">C6/SUM(C5:C8)</f>
        <v>0.281282205985514</v>
      </c>
      <c r="E6" s="58" t="n">
        <v>24.749</v>
      </c>
      <c r="F6" s="22" t="n">
        <f aca="false">E6/SUM(E5:E8)</f>
        <v>0.26662285615789</v>
      </c>
      <c r="G6" s="38" t="n">
        <f aca="false">IF(C6=0,"-",E6*1000000/C6)</f>
        <v>254.000020526084</v>
      </c>
      <c r="H6" s="54" t="s">
        <v>214</v>
      </c>
    </row>
    <row r="7" customFormat="false" ht="18" hidden="false" customHeight="true" outlineLevel="0" collapsed="false">
      <c r="B7" s="14" t="s">
        <v>215</v>
      </c>
      <c r="C7" s="15" t="n">
        <v>27902</v>
      </c>
      <c r="D7" s="18" t="n">
        <f aca="false">C7/SUM(C5:C8)</f>
        <v>0.0805478012603817</v>
      </c>
      <c r="E7" s="57" t="n">
        <v>1.395</v>
      </c>
      <c r="F7" s="18" t="n">
        <f aca="false">E7/SUM(E5:E8)</f>
        <v>0.0150284409204516</v>
      </c>
      <c r="G7" s="37" t="n">
        <f aca="false">IF(C7=0,"-",E7*1000000/C7)</f>
        <v>49.9964160275249</v>
      </c>
      <c r="H7" s="50" t="s">
        <v>216</v>
      </c>
    </row>
    <row r="8" customFormat="false" ht="18" hidden="false" customHeight="true" outlineLevel="0" collapsed="false">
      <c r="B8" s="14" t="s">
        <v>217</v>
      </c>
      <c r="C8" s="19" t="n">
        <v>8500</v>
      </c>
      <c r="D8" s="22" t="n">
        <f aca="false">C8/SUM(C5:C8)</f>
        <v>0.0245378937249389</v>
      </c>
      <c r="E8" s="58" t="n">
        <v>5.2</v>
      </c>
      <c r="F8" s="22" t="n">
        <f aca="false">E8/SUM(E5:E8)</f>
        <v>0.0560199948289236</v>
      </c>
      <c r="G8" s="38" t="n">
        <f aca="false">IF(C8=0,"-",E8*1000000/C8)</f>
        <v>611.764705882353</v>
      </c>
      <c r="H8" s="54" t="s">
        <v>218</v>
      </c>
    </row>
    <row r="9" customFormat="false" ht="19.5" hidden="false" customHeight="true" outlineLevel="0" collapsed="false">
      <c r="B9" s="14" t="s">
        <v>70</v>
      </c>
      <c r="C9" s="23" t="n">
        <f aca="false">SUM(C5:C8)</f>
        <v>346403</v>
      </c>
      <c r="D9" s="26" t="n">
        <f aca="false">1</f>
        <v>1</v>
      </c>
      <c r="E9" s="59" t="n">
        <f aca="false">SUM(E5:E8)</f>
        <v>92.824</v>
      </c>
      <c r="F9" s="26" t="n">
        <f aca="false">1</f>
        <v>1</v>
      </c>
      <c r="G9" s="23" t="n">
        <f aca="false">IF(C9=0,"-",E9*1000000/C9)</f>
        <v>267.965346720438</v>
      </c>
      <c r="H9" s="24"/>
    </row>
    <row r="11" customFormat="false" ht="21.75" hidden="false" customHeight="true" outlineLevel="0" collapsed="false">
      <c r="B11" s="12" t="s">
        <v>219</v>
      </c>
      <c r="C11" s="12"/>
      <c r="D11" s="12"/>
      <c r="E11" s="12"/>
      <c r="F11" s="12"/>
      <c r="G11" s="12"/>
      <c r="H11" s="12"/>
      <c r="I11" s="12"/>
    </row>
    <row r="12" customFormat="false" ht="18" hidden="false" customHeight="true" outlineLevel="0" collapsed="false">
      <c r="B12" s="41" t="s">
        <v>220</v>
      </c>
      <c r="C12" s="41" t="s">
        <v>221</v>
      </c>
      <c r="D12" s="41" t="s">
        <v>222</v>
      </c>
      <c r="E12" s="41" t="s">
        <v>223</v>
      </c>
      <c r="F12" s="41" t="s">
        <v>224</v>
      </c>
      <c r="G12" s="41" t="s">
        <v>225</v>
      </c>
      <c r="H12" s="41" t="s">
        <v>226</v>
      </c>
      <c r="I12" s="41" t="s">
        <v>227</v>
      </c>
    </row>
    <row r="13" customFormat="false" ht="18" hidden="false" customHeight="true" outlineLevel="0" collapsed="false">
      <c r="B13" s="14" t="s">
        <v>228</v>
      </c>
      <c r="C13" s="42" t="n">
        <v>0.09</v>
      </c>
      <c r="D13" s="42" t="n">
        <v>0.15</v>
      </c>
      <c r="E13" s="42" t="n">
        <v>0.23</v>
      </c>
      <c r="F13" s="42" t="n">
        <v>0.25</v>
      </c>
      <c r="G13" s="42" t="n">
        <v>0.16</v>
      </c>
      <c r="H13" s="42" t="n">
        <v>0.12</v>
      </c>
      <c r="I13" s="60" t="n">
        <f aca="false">SUM(C13:H13)</f>
        <v>1</v>
      </c>
    </row>
    <row r="15" customFormat="false" ht="21.75" hidden="false" customHeight="true" outlineLevel="0" collapsed="false">
      <c r="B15" s="12" t="s">
        <v>229</v>
      </c>
      <c r="C15" s="12"/>
      <c r="D15" s="12"/>
      <c r="E15" s="12"/>
      <c r="F15" s="12"/>
      <c r="G15" s="12"/>
      <c r="H15" s="12"/>
      <c r="I15" s="12"/>
    </row>
    <row r="16" customFormat="false" ht="18" hidden="false" customHeight="true" outlineLevel="0" collapsed="false">
      <c r="B16" s="41" t="s">
        <v>230</v>
      </c>
      <c r="C16" s="41" t="s">
        <v>231</v>
      </c>
      <c r="D16" s="41" t="s">
        <v>232</v>
      </c>
      <c r="E16" s="41" t="s">
        <v>24</v>
      </c>
      <c r="F16" s="41" t="s">
        <v>228</v>
      </c>
    </row>
    <row r="17" customFormat="false" ht="15.75" hidden="false" customHeight="true" outlineLevel="0" collapsed="false">
      <c r="B17" s="61" t="s">
        <v>233</v>
      </c>
      <c r="C17" s="49" t="s">
        <v>234</v>
      </c>
      <c r="D17" s="49" t="s">
        <v>235</v>
      </c>
      <c r="E17" s="49" t="s">
        <v>236</v>
      </c>
      <c r="F17" s="39" t="n">
        <v>0.02</v>
      </c>
    </row>
    <row r="18" customFormat="false" ht="15.75" hidden="false" customHeight="true" outlineLevel="0" collapsed="false">
      <c r="B18" s="61" t="s">
        <v>233</v>
      </c>
      <c r="C18" s="53" t="s">
        <v>234</v>
      </c>
      <c r="D18" s="53" t="s">
        <v>235</v>
      </c>
      <c r="E18" s="53" t="s">
        <v>237</v>
      </c>
      <c r="F18" s="40" t="n">
        <v>0.04</v>
      </c>
    </row>
    <row r="19" customFormat="false" ht="15.75" hidden="false" customHeight="true" outlineLevel="0" collapsed="false">
      <c r="B19" s="61" t="s">
        <v>233</v>
      </c>
      <c r="C19" s="49" t="s">
        <v>234</v>
      </c>
      <c r="D19" s="49" t="s">
        <v>235</v>
      </c>
      <c r="E19" s="49" t="s">
        <v>238</v>
      </c>
      <c r="F19" s="39" t="n">
        <v>0.04</v>
      </c>
    </row>
    <row r="20" customFormat="false" ht="15.75" hidden="false" customHeight="true" outlineLevel="0" collapsed="false">
      <c r="B20" s="61" t="s">
        <v>233</v>
      </c>
      <c r="C20" s="53" t="s">
        <v>234</v>
      </c>
      <c r="D20" s="53" t="s">
        <v>239</v>
      </c>
      <c r="E20" s="53" t="s">
        <v>236</v>
      </c>
      <c r="F20" s="40" t="n">
        <v>0.01</v>
      </c>
    </row>
    <row r="21" customFormat="false" ht="15.75" hidden="false" customHeight="true" outlineLevel="0" collapsed="false">
      <c r="B21" s="61" t="s">
        <v>233</v>
      </c>
      <c r="C21" s="49" t="s">
        <v>234</v>
      </c>
      <c r="D21" s="49" t="s">
        <v>239</v>
      </c>
      <c r="E21" s="49" t="s">
        <v>237</v>
      </c>
      <c r="F21" s="39" t="n">
        <v>0.05</v>
      </c>
    </row>
    <row r="22" customFormat="false" ht="15.75" hidden="false" customHeight="true" outlineLevel="0" collapsed="false">
      <c r="B22" s="61" t="s">
        <v>233</v>
      </c>
      <c r="C22" s="53" t="s">
        <v>234</v>
      </c>
      <c r="D22" s="53" t="s">
        <v>239</v>
      </c>
      <c r="E22" s="53" t="s">
        <v>238</v>
      </c>
      <c r="F22" s="40" t="n">
        <v>0.03</v>
      </c>
    </row>
    <row r="23" customFormat="false" ht="15.75" hidden="false" customHeight="true" outlineLevel="0" collapsed="false">
      <c r="B23" s="61" t="s">
        <v>233</v>
      </c>
      <c r="C23" s="49" t="s">
        <v>240</v>
      </c>
      <c r="D23" s="49" t="s">
        <v>235</v>
      </c>
      <c r="E23" s="49" t="s">
        <v>236</v>
      </c>
      <c r="F23" s="39" t="n">
        <v>0.01</v>
      </c>
    </row>
    <row r="24" customFormat="false" ht="15.75" hidden="false" customHeight="true" outlineLevel="0" collapsed="false">
      <c r="B24" s="61" t="s">
        <v>233</v>
      </c>
      <c r="C24" s="53" t="s">
        <v>240</v>
      </c>
      <c r="D24" s="53" t="s">
        <v>235</v>
      </c>
      <c r="E24" s="53" t="s">
        <v>237</v>
      </c>
      <c r="F24" s="40" t="n">
        <v>0.05</v>
      </c>
    </row>
    <row r="25" customFormat="false" ht="15.75" hidden="false" customHeight="true" outlineLevel="0" collapsed="false">
      <c r="B25" s="61" t="s">
        <v>233</v>
      </c>
      <c r="C25" s="49" t="s">
        <v>240</v>
      </c>
      <c r="D25" s="49" t="s">
        <v>235</v>
      </c>
      <c r="E25" s="49" t="s">
        <v>238</v>
      </c>
      <c r="F25" s="39" t="n">
        <v>0.04</v>
      </c>
    </row>
    <row r="26" customFormat="false" ht="15.75" hidden="false" customHeight="true" outlineLevel="0" collapsed="false">
      <c r="B26" s="61" t="s">
        <v>233</v>
      </c>
      <c r="C26" s="53" t="s">
        <v>240</v>
      </c>
      <c r="D26" s="53" t="s">
        <v>239</v>
      </c>
      <c r="E26" s="53" t="s">
        <v>236</v>
      </c>
      <c r="F26" s="40" t="n">
        <v>0.01</v>
      </c>
    </row>
    <row r="27" customFormat="false" ht="15.75" hidden="false" customHeight="true" outlineLevel="0" collapsed="false">
      <c r="B27" s="61" t="s">
        <v>233</v>
      </c>
      <c r="C27" s="49" t="s">
        <v>240</v>
      </c>
      <c r="D27" s="49" t="s">
        <v>239</v>
      </c>
      <c r="E27" s="49" t="s">
        <v>237</v>
      </c>
      <c r="F27" s="39" t="n">
        <v>0.07</v>
      </c>
    </row>
    <row r="28" customFormat="false" ht="15.75" hidden="false" customHeight="true" outlineLevel="0" collapsed="false">
      <c r="B28" s="61" t="s">
        <v>233</v>
      </c>
      <c r="C28" s="53" t="s">
        <v>240</v>
      </c>
      <c r="D28" s="53" t="s">
        <v>239</v>
      </c>
      <c r="E28" s="53" t="s">
        <v>238</v>
      </c>
      <c r="F28" s="40" t="n">
        <v>0.04</v>
      </c>
    </row>
    <row r="29" customFormat="false" ht="15.75" hidden="false" customHeight="true" outlineLevel="0" collapsed="false">
      <c r="B29" s="61" t="s">
        <v>241</v>
      </c>
      <c r="C29" s="49" t="s">
        <v>234</v>
      </c>
      <c r="D29" s="49" t="s">
        <v>235</v>
      </c>
      <c r="E29" s="49" t="s">
        <v>236</v>
      </c>
      <c r="F29" s="39" t="n">
        <v>0.02</v>
      </c>
    </row>
    <row r="30" customFormat="false" ht="15.75" hidden="false" customHeight="true" outlineLevel="0" collapsed="false">
      <c r="B30" s="61" t="s">
        <v>241</v>
      </c>
      <c r="C30" s="53" t="s">
        <v>234</v>
      </c>
      <c r="D30" s="53" t="s">
        <v>235</v>
      </c>
      <c r="E30" s="53" t="s">
        <v>237</v>
      </c>
      <c r="F30" s="40" t="n">
        <v>0.05</v>
      </c>
    </row>
    <row r="31" customFormat="false" ht="15.75" hidden="false" customHeight="true" outlineLevel="0" collapsed="false">
      <c r="B31" s="61" t="s">
        <v>241</v>
      </c>
      <c r="C31" s="49" t="s">
        <v>234</v>
      </c>
      <c r="D31" s="49" t="s">
        <v>235</v>
      </c>
      <c r="E31" s="49" t="s">
        <v>238</v>
      </c>
      <c r="F31" s="39" t="n">
        <v>0.05</v>
      </c>
    </row>
    <row r="32" customFormat="false" ht="15.75" hidden="false" customHeight="true" outlineLevel="0" collapsed="false">
      <c r="B32" s="61" t="s">
        <v>241</v>
      </c>
      <c r="C32" s="53" t="s">
        <v>234</v>
      </c>
      <c r="D32" s="53" t="s">
        <v>239</v>
      </c>
      <c r="E32" s="53" t="s">
        <v>236</v>
      </c>
      <c r="F32" s="40" t="n">
        <v>0.01</v>
      </c>
    </row>
    <row r="33" customFormat="false" ht="15.75" hidden="false" customHeight="true" outlineLevel="0" collapsed="false">
      <c r="B33" s="61" t="s">
        <v>241</v>
      </c>
      <c r="C33" s="49" t="s">
        <v>234</v>
      </c>
      <c r="D33" s="49" t="s">
        <v>239</v>
      </c>
      <c r="E33" s="49" t="s">
        <v>237</v>
      </c>
      <c r="F33" s="39" t="n">
        <v>0.05</v>
      </c>
    </row>
    <row r="34" customFormat="false" ht="15.75" hidden="false" customHeight="true" outlineLevel="0" collapsed="false">
      <c r="B34" s="61" t="s">
        <v>241</v>
      </c>
      <c r="C34" s="53" t="s">
        <v>234</v>
      </c>
      <c r="D34" s="53" t="s">
        <v>239</v>
      </c>
      <c r="E34" s="53" t="s">
        <v>238</v>
      </c>
      <c r="F34" s="40" t="n">
        <v>0.03</v>
      </c>
    </row>
    <row r="35" customFormat="false" ht="15.75" hidden="false" customHeight="true" outlineLevel="0" collapsed="false">
      <c r="B35" s="61" t="s">
        <v>241</v>
      </c>
      <c r="C35" s="49" t="s">
        <v>240</v>
      </c>
      <c r="D35" s="49" t="s">
        <v>235</v>
      </c>
      <c r="E35" s="49" t="s">
        <v>236</v>
      </c>
      <c r="F35" s="39" t="n">
        <v>0</v>
      </c>
    </row>
    <row r="36" customFormat="false" ht="15.75" hidden="false" customHeight="true" outlineLevel="0" collapsed="false">
      <c r="B36" s="61" t="s">
        <v>241</v>
      </c>
      <c r="C36" s="53" t="s">
        <v>240</v>
      </c>
      <c r="D36" s="53" t="s">
        <v>235</v>
      </c>
      <c r="E36" s="53" t="s">
        <v>237</v>
      </c>
      <c r="F36" s="40" t="n">
        <v>0.06</v>
      </c>
    </row>
    <row r="37" customFormat="false" ht="15.75" hidden="false" customHeight="true" outlineLevel="0" collapsed="false">
      <c r="B37" s="61" t="s">
        <v>241</v>
      </c>
      <c r="C37" s="49" t="s">
        <v>240</v>
      </c>
      <c r="D37" s="49" t="s">
        <v>235</v>
      </c>
      <c r="E37" s="49" t="s">
        <v>238</v>
      </c>
      <c r="F37" s="39" t="n">
        <v>0.04</v>
      </c>
    </row>
    <row r="38" customFormat="false" ht="15.75" hidden="false" customHeight="true" outlineLevel="0" collapsed="false">
      <c r="B38" s="61" t="s">
        <v>241</v>
      </c>
      <c r="C38" s="53" t="s">
        <v>240</v>
      </c>
      <c r="D38" s="53" t="s">
        <v>239</v>
      </c>
      <c r="E38" s="53" t="s">
        <v>236</v>
      </c>
      <c r="F38" s="40" t="n">
        <v>0</v>
      </c>
    </row>
    <row r="39" customFormat="false" ht="15.75" hidden="false" customHeight="true" outlineLevel="0" collapsed="false">
      <c r="B39" s="61" t="s">
        <v>241</v>
      </c>
      <c r="C39" s="49" t="s">
        <v>240</v>
      </c>
      <c r="D39" s="49" t="s">
        <v>239</v>
      </c>
      <c r="E39" s="49" t="s">
        <v>237</v>
      </c>
      <c r="F39" s="39" t="n">
        <v>0.06</v>
      </c>
    </row>
    <row r="40" customFormat="false" ht="15.75" hidden="false" customHeight="true" outlineLevel="0" collapsed="false">
      <c r="B40" s="61" t="s">
        <v>241</v>
      </c>
      <c r="C40" s="53" t="s">
        <v>240</v>
      </c>
      <c r="D40" s="53" t="s">
        <v>239</v>
      </c>
      <c r="E40" s="53" t="s">
        <v>238</v>
      </c>
      <c r="F40" s="40" t="n">
        <v>0.04</v>
      </c>
    </row>
  </sheetData>
  <mergeCells count="4">
    <mergeCell ref="B1:I1"/>
    <mergeCell ref="B3:I3"/>
    <mergeCell ref="B11:I11"/>
    <mergeCell ref="B15:I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14" min="3" style="0" width="8"/>
  </cols>
  <sheetData>
    <row r="1" customFormat="false" ht="31.5" hidden="false" customHeight="true" outlineLevel="0" collapsed="false">
      <c r="B1" s="10" t="s">
        <v>242</v>
      </c>
      <c r="C1" s="10"/>
      <c r="D1" s="10"/>
      <c r="E1" s="10"/>
      <c r="F1" s="10"/>
      <c r="G1" s="10"/>
      <c r="H1" s="10"/>
      <c r="I1" s="10"/>
    </row>
    <row r="3" customFormat="false" ht="21.75" hidden="false" customHeight="true" outlineLevel="0" collapsed="false">
      <c r="B3" s="12" t="s">
        <v>243</v>
      </c>
      <c r="C3" s="12"/>
      <c r="D3" s="12"/>
      <c r="E3" s="12"/>
      <c r="F3" s="12"/>
      <c r="G3" s="12"/>
      <c r="H3" s="12"/>
      <c r="I3" s="12"/>
    </row>
    <row r="4" customFormat="false" ht="36" hidden="false" customHeight="true" outlineLevel="0" collapsed="false">
      <c r="B4" s="13" t="s">
        <v>244</v>
      </c>
      <c r="C4" s="13" t="s">
        <v>245</v>
      </c>
      <c r="D4" s="13" t="s">
        <v>246</v>
      </c>
      <c r="E4" s="13" t="s">
        <v>247</v>
      </c>
      <c r="F4" s="13" t="s">
        <v>248</v>
      </c>
      <c r="G4" s="13" t="s">
        <v>249</v>
      </c>
      <c r="H4" s="13" t="s">
        <v>250</v>
      </c>
    </row>
    <row r="5" customFormat="false" ht="21.75" hidden="false" customHeight="true" outlineLevel="0" collapsed="false">
      <c r="B5" s="62" t="n">
        <v>1</v>
      </c>
      <c r="C5" s="63" t="s">
        <v>251</v>
      </c>
      <c r="D5" s="64" t="s">
        <v>252</v>
      </c>
      <c r="E5" s="64" t="s">
        <v>253</v>
      </c>
      <c r="F5" s="64" t="s">
        <v>252</v>
      </c>
      <c r="G5" s="63" t="s">
        <v>254</v>
      </c>
      <c r="H5" s="63" t="s">
        <v>255</v>
      </c>
    </row>
    <row r="6" customFormat="false" ht="21.75" hidden="false" customHeight="true" outlineLevel="0" collapsed="false">
      <c r="B6" s="65" t="n">
        <v>2</v>
      </c>
      <c r="C6" s="66" t="s">
        <v>256</v>
      </c>
      <c r="D6" s="67" t="s">
        <v>257</v>
      </c>
      <c r="E6" s="67" t="s">
        <v>258</v>
      </c>
      <c r="F6" s="67" t="s">
        <v>259</v>
      </c>
      <c r="G6" s="66" t="s">
        <v>260</v>
      </c>
      <c r="H6" s="66" t="s">
        <v>261</v>
      </c>
    </row>
    <row r="7" customFormat="false" ht="21.75" hidden="false" customHeight="true" outlineLevel="0" collapsed="false">
      <c r="B7" s="68" t="n">
        <v>3</v>
      </c>
      <c r="C7" s="69" t="s">
        <v>262</v>
      </c>
      <c r="D7" s="70" t="s">
        <v>253</v>
      </c>
      <c r="E7" s="70" t="s">
        <v>263</v>
      </c>
      <c r="F7" s="70" t="s">
        <v>264</v>
      </c>
      <c r="G7" s="69" t="s">
        <v>265</v>
      </c>
      <c r="H7" s="69" t="s">
        <v>266</v>
      </c>
    </row>
    <row r="8" customFormat="false" ht="21.75" hidden="false" customHeight="true" outlineLevel="0" collapsed="false">
      <c r="B8" s="71" t="n">
        <v>4</v>
      </c>
      <c r="C8" s="72" t="s">
        <v>267</v>
      </c>
      <c r="D8" s="73" t="s">
        <v>258</v>
      </c>
      <c r="E8" s="73" t="s">
        <v>257</v>
      </c>
      <c r="F8" s="73" t="s">
        <v>268</v>
      </c>
      <c r="G8" s="72" t="s">
        <v>269</v>
      </c>
      <c r="H8" s="72" t="s">
        <v>270</v>
      </c>
    </row>
    <row r="10" customFormat="false" ht="21.75" hidden="false" customHeight="true" outlineLevel="0" collapsed="false">
      <c r="B10" s="12" t="s">
        <v>271</v>
      </c>
      <c r="C10" s="12"/>
      <c r="D10" s="12"/>
      <c r="E10" s="12"/>
      <c r="F10" s="12"/>
      <c r="G10" s="12"/>
      <c r="H10" s="12"/>
      <c r="I10" s="12"/>
    </row>
    <row r="11" customFormat="false" ht="18" hidden="false" customHeight="true" outlineLevel="0" collapsed="false">
      <c r="B11" s="41" t="s">
        <v>272</v>
      </c>
      <c r="C11" s="41" t="s">
        <v>273</v>
      </c>
      <c r="D11" s="41" t="s">
        <v>274</v>
      </c>
      <c r="E11" s="41" t="s">
        <v>275</v>
      </c>
      <c r="F11" s="41" t="s">
        <v>276</v>
      </c>
      <c r="G11" s="41" t="s">
        <v>277</v>
      </c>
      <c r="H11" s="41" t="s">
        <v>278</v>
      </c>
      <c r="I11" s="41" t="s">
        <v>279</v>
      </c>
      <c r="J11" s="41" t="s">
        <v>280</v>
      </c>
      <c r="K11" s="41" t="s">
        <v>281</v>
      </c>
      <c r="L11" s="41" t="s">
        <v>282</v>
      </c>
      <c r="M11" s="41" t="s">
        <v>283</v>
      </c>
      <c r="N11" s="41" t="s">
        <v>284</v>
      </c>
    </row>
    <row r="12" customFormat="false" ht="18" hidden="false" customHeight="true" outlineLevel="0" collapsed="false">
      <c r="B12" s="14" t="s">
        <v>285</v>
      </c>
      <c r="C12" s="74" t="n">
        <v>100</v>
      </c>
      <c r="D12" s="74" t="n">
        <v>95</v>
      </c>
      <c r="E12" s="74" t="n">
        <v>88</v>
      </c>
      <c r="F12" s="74" t="n">
        <v>80</v>
      </c>
      <c r="G12" s="74" t="n">
        <v>75</v>
      </c>
      <c r="H12" s="74" t="n">
        <v>78</v>
      </c>
      <c r="I12" s="74" t="n">
        <v>85</v>
      </c>
      <c r="J12" s="74" t="n">
        <v>95</v>
      </c>
      <c r="K12" s="74" t="n">
        <v>105</v>
      </c>
      <c r="L12" s="74" t="n">
        <v>110</v>
      </c>
      <c r="M12" s="74" t="n">
        <v>108</v>
      </c>
      <c r="N12" s="74" t="n">
        <v>100</v>
      </c>
    </row>
    <row r="13" customFormat="false" ht="18" hidden="false" customHeight="true" outlineLevel="0" collapsed="false">
      <c r="B13" s="14" t="s">
        <v>286</v>
      </c>
      <c r="C13" s="75" t="n">
        <v>1</v>
      </c>
      <c r="D13" s="75" t="n">
        <v>1</v>
      </c>
      <c r="E13" s="75" t="n">
        <v>2</v>
      </c>
      <c r="F13" s="75" t="n">
        <v>2</v>
      </c>
      <c r="G13" s="75" t="n">
        <v>3</v>
      </c>
      <c r="H13" s="75" t="n">
        <v>3</v>
      </c>
      <c r="I13" s="75" t="n">
        <v>4</v>
      </c>
      <c r="J13" s="75" t="n">
        <v>4</v>
      </c>
      <c r="K13" s="75" t="n">
        <v>1</v>
      </c>
      <c r="L13" s="75" t="n">
        <v>1</v>
      </c>
      <c r="M13" s="75" t="n">
        <v>2</v>
      </c>
      <c r="N13" s="75" t="n">
        <v>2</v>
      </c>
    </row>
    <row r="15" customFormat="false" ht="19.5" hidden="false" customHeight="true" outlineLevel="0" collapsed="false">
      <c r="B15" s="27" t="s">
        <v>287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</row>
    <row r="16" customFormat="false" ht="18" hidden="false" customHeight="true" outlineLevel="0" collapsed="false">
      <c r="B16" s="14" t="s">
        <v>288</v>
      </c>
      <c r="C16" s="28" t="s">
        <v>289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</row>
    <row r="17" customFormat="false" ht="18" hidden="false" customHeight="true" outlineLevel="0" collapsed="false">
      <c r="B17" s="14" t="s">
        <v>290</v>
      </c>
      <c r="C17" s="29" t="s">
        <v>291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</row>
    <row r="18" customFormat="false" ht="18" hidden="false" customHeight="true" outlineLevel="0" collapsed="false">
      <c r="B18" s="14" t="s">
        <v>292</v>
      </c>
      <c r="C18" s="28" t="s">
        <v>293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</row>
    <row r="19" customFormat="false" ht="18" hidden="false" customHeight="true" outlineLevel="0" collapsed="false">
      <c r="B19" s="14" t="s">
        <v>294</v>
      </c>
      <c r="C19" s="29" t="s">
        <v>295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</row>
    <row r="20" customFormat="false" ht="18" hidden="false" customHeight="true" outlineLevel="0" collapsed="false">
      <c r="B20" s="14" t="s">
        <v>296</v>
      </c>
      <c r="C20" s="28" t="s">
        <v>297</v>
      </c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</row>
    <row r="21" customFormat="false" ht="18" hidden="false" customHeight="true" outlineLevel="0" collapsed="false">
      <c r="B21" s="14" t="s">
        <v>298</v>
      </c>
      <c r="C21" s="29" t="s">
        <v>299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</row>
    <row r="22" customFormat="false" ht="18" hidden="false" customHeight="true" outlineLevel="0" collapsed="false">
      <c r="B22" s="14" t="s">
        <v>300</v>
      </c>
      <c r="C22" s="28" t="s">
        <v>301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</row>
  </sheetData>
  <mergeCells count="11">
    <mergeCell ref="B1:I1"/>
    <mergeCell ref="B3:I3"/>
    <mergeCell ref="B10:I10"/>
    <mergeCell ref="B15:N15"/>
    <mergeCell ref="C16:N16"/>
    <mergeCell ref="C17:N17"/>
    <mergeCell ref="C18:N18"/>
    <mergeCell ref="C19:N19"/>
    <mergeCell ref="C20:N20"/>
    <mergeCell ref="C21:N21"/>
    <mergeCell ref="C22:N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2026-04-16T16:27:44Z</dcterms:created>
  <dc:creator>openpyxl</dc:creator>
  <dc:description/>
  <dc:language>en-US</dc:language>
  <cp:lastModifiedBy/>
  <dcterms:modified xsi:type="dcterms:W3CDTF">2026-04-16T16:27:44Z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