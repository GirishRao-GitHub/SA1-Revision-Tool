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ROJEC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<sst xmlns="http://schemas.openxmlformats.org/spreadsheetml/2006/main" count="69" uniqueCount="59">
  <si>
    <t xml:space="preserve">SP1 Ch 28  |  ALM Sample Paths Model  |  INPUTS</t>
  </si>
  <si>
    <t xml:space="preserve">  Change the blue inputs below and the PROJECTION sheet updates automatically.</t>
  </si>
  <si>
    <t xml:space="preserve">STARTING VALUES</t>
  </si>
  <si>
    <t xml:space="preserve">Initial Reserves  (Liabilities)  £000</t>
  </si>
  <si>
    <t xml:space="preserve">← Total reserve at t=0.  These GROW each year at Liability Growth Rate below.</t>
  </si>
  <si>
    <t xml:space="preserve">Initial Assets  £000</t>
  </si>
  <si>
    <t xml:space="preserve">← Total assets at t=0.  Assets &gt; Liabilities because of the free assets cushion (£200k here).</t>
  </si>
  <si>
    <t xml:space="preserve">Free Assets at t=0  £000</t>
  </si>
  <si>
    <t xml:space="preserve">← Formula: Assets minus Reserves.  This is the cushion that allows mismatching.</t>
  </si>
  <si>
    <t xml:space="preserve">Liability Growth Rate  (pa)</t>
  </si>
  <si>
    <t xml:space="preserve">← DETERMINISTIC.  Liabilities grow by this fixed % each year — no randomness.</t>
  </si>
  <si>
    <t xml:space="preserve">INVESTMENT STRATEGY  (Balanced: 50% Equities, 50% Bonds)</t>
  </si>
  <si>
    <t xml:space="preserve">Portfolio Expected Return  μ  (pa)</t>
  </si>
  <si>
    <t xml:space="preserve">← Mean of the annual return distribution.  Higher μ = higher average asset growth.</t>
  </si>
  <si>
    <t xml:space="preserve">Portfolio Volatility  σ  (pa)</t>
  </si>
  <si>
    <t xml:space="preserve">← Standard deviation of returns.  Higher σ = wider spread of paths = more insolvency risk.</t>
  </si>
  <si>
    <t xml:space="preserve">Return Model</t>
  </si>
  <si>
    <t xml:space="preserve">Lognormal</t>
  </si>
  <si>
    <t xml:space="preserve">← r(t) = exp( μ − ½σ² + σ·Z ) where Z ~ N(0,1).  Lognormal prevents assets going negative.</t>
  </si>
  <si>
    <t xml:space="preserve">Asset projection formula</t>
  </si>
  <si>
    <t xml:space="preserve">A(t-1) x (1 + r(t))</t>
  </si>
  <si>
    <t xml:space="preserve">← Each path: assets carried forward by that year's random return factor.</t>
  </si>
  <si>
    <t xml:space="preserve">Liability projection formula</t>
  </si>
  <si>
    <t xml:space="preserve">L(t-1) x (1 + g)</t>
  </si>
  <si>
    <t xml:space="preserve">← Same for ALL paths — liabilities have no randomness.</t>
  </si>
  <si>
    <t xml:space="preserve">SIMULATION SETTINGS</t>
  </si>
  <si>
    <t xml:space="preserve">Number of Sample Paths</t>
  </si>
  <si>
    <t xml:space="preserve">← Each path = one possible future outcome driven by different random return sequence.</t>
  </si>
  <si>
    <t xml:space="preserve">Projection Period  (years)</t>
  </si>
  <si>
    <t xml:space="preserve">← Number of annual time steps.</t>
  </si>
  <si>
    <t xml:space="preserve">Solvency Threshold  (SCR multiple)</t>
  </si>
  <si>
    <t xml:space="preserve">← If Assets/Liabilities falls below this → INSOLVENT.  Shown as RED in PROJECTION sheet.</t>
  </si>
  <si>
    <t xml:space="preserve">PROJECTION  |  10 Sample Paths  ×  20 Years  |  Balanced Strategy (μ=5.5%, σ=8.0%)  |  SCR threshold = 1.10×  =  green/red</t>
  </si>
  <si>
    <t xml:space="preserve">ASSET PATHS  (£000)  — stochastic</t>
  </si>
  <si>
    <t xml:space="preserve">LIABILITIES
(£000) — deterministic</t>
  </si>
  <si>
    <t xml:space="preserve">SOLVENCY RATIO  =  Assets ÷ Liabilities</t>
  </si>
  <si>
    <t xml:space="preserve">SCR
Line
(1.10×)</t>
  </si>
  <si>
    <t xml:space="preserve">MEDIAN
Ratio</t>
  </si>
  <si>
    <t xml:space="preserve">Year</t>
  </si>
  <si>
    <t xml:space="preserve">Path 1</t>
  </si>
  <si>
    <t xml:space="preserve">Path 2</t>
  </si>
  <si>
    <t xml:space="preserve">Path 3</t>
  </si>
  <si>
    <t xml:space="preserve">Path 4</t>
  </si>
  <si>
    <t xml:space="preserve">Path 5</t>
  </si>
  <si>
    <t xml:space="preserve">Path 6</t>
  </si>
  <si>
    <t xml:space="preserve">Path 7</t>
  </si>
  <si>
    <t xml:space="preserve">Path 8</t>
  </si>
  <si>
    <t xml:space="preserve">Path 9</t>
  </si>
  <si>
    <t xml:space="preserve">Path 10</t>
  </si>
  <si>
    <t xml:space="preserve">Liabilities
(£000)</t>
  </si>
  <si>
    <t xml:space="preserve">SCR
1.10×</t>
  </si>
  <si>
    <t xml:space="preserve">Median</t>
  </si>
  <si>
    <t xml:space="preserve">Prior year Assets x (1 + r),  where r = exp(mu - half*sigma^2 + sigma*Z),  Z ~ N(0,1)</t>
  </si>
  <si>
    <t xml:space="preserve">Prior year Liab x (1+g)</t>
  </si>
  <si>
    <t xml:space="preserve">Asset Path / Liability (same year)</t>
  </si>
  <si>
    <t xml:space="preserve">YEAR-20 SUMMARY</t>
  </si>
  <si>
    <t xml:space="preserve">SOLVENCY RATIO AT YEAR 20 (per path)</t>
  </si>
  <si>
    <t xml:space="preserve">Liabilities at Year 20:</t>
  </si>
  <si>
    <t xml:space="preserve"># Paths Insolvent (any year):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</si>
</sst>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"/>
    <numFmt numFmtId="166" formatCode="0.00%"/>
    <numFmt numFmtId="167" formatCode="0"/>
    <numFmt numFmtId="168" formatCode="0.00\x"/>
    <numFmt numFmtId="169" formatCode="#,##0.0"/>
    <numFmt numFmtId="170" formatCode="\£#,##0.0"/>
    <numFmt numFmtId="171" formatCode="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FFFFFF"/>
      <name val="Arial"/>
      <family val="0"/>
      <charset val="1"/>
    </font>
    <font>
      <i val="true"/>
      <sz val="8.5"/>
      <color rgb="FF1F3864"/>
      <name val="Arial"/>
      <family val="0"/>
      <charset val="1"/>
    </font>
    <font>
      <i val="true"/>
      <sz val="8.5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F3864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17375E"/>
        <bgColor rgb="FF1F3864"/>
      </patternFill>
    </fill>
    <fill>
      <patternFill patternType="solid">
        <fgColor rgb="FFDEEAF1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DEEAF1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C6EFCE"/>
      <rgbColor rgb="FFFCE4D6"/>
      <rgbColor rgb="FFA9D18E"/>
      <rgbColor rgb="FFFF99CC"/>
      <rgbColor rgb="FFD9D9D9"/>
      <rgbColor rgb="FFFFC7CE"/>
      <rgbColor rgb="FF4472C4"/>
      <rgbColor rgb="FF33CCCC"/>
      <rgbColor rgb="FF99CC00"/>
      <rgbColor rgb="FFFFC000"/>
      <rgbColor rgb="FFFF9900"/>
      <rgbColor rgb="FFED7D31"/>
      <rgbColor rgb="FF595959"/>
      <rgbColor rgb="FF969696"/>
      <rgbColor rgb="FF17375E"/>
      <rgbColor rgb="FF00B050"/>
      <rgbColor rgb="FF003300"/>
      <rgbColor rgb="FF375623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Solvency Ratio Sample Paths  (Assets ÷ Liabilities)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"SCR Threshold (1.10×)"</c:f>
              <c:strCache>
                <c:ptCount val="1"/>
                <c:pt idx="0">
                  <c:v>SCR Threshold (1.10×)</c:v>
                </c:pt>
              </c:strCache>
            </c:strRef>
          </c:tx>
          <c:spPr>
            <a:solidFill>
              <a:srgbClr val="ff0000"/>
            </a:solidFill>
            <a:ln w="219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PROJECTION!$Z$5:$Z$25</c:f>
              <c:numCache>
                <c:formatCode>0.00\x</c:formatCode>
                <c:ptCount val="21"/>
                <c:pt idx="0">
                  <c:v>1.1</c:v>
                </c:pt>
                <c:pt idx="1">
                  <c:v>1.1</c:v>
                </c:pt>
                <c:pt idx="2">
                  <c:v>1.1</c:v>
                </c:pt>
                <c:pt idx="3">
                  <c:v>1.1</c:v>
                </c:pt>
                <c:pt idx="4">
                  <c:v>1.1</c:v>
                </c:pt>
                <c:pt idx="5">
                  <c:v>1.1</c:v>
                </c:pt>
                <c:pt idx="6">
                  <c:v>1.1</c:v>
                </c:pt>
                <c:pt idx="7">
                  <c:v>1.1</c:v>
                </c:pt>
                <c:pt idx="8">
                  <c:v>1.1</c:v>
                </c:pt>
                <c:pt idx="9">
                  <c:v>1.1</c:v>
                </c:pt>
                <c:pt idx="10">
                  <c:v>1.1</c:v>
                </c:pt>
                <c:pt idx="11">
                  <c:v>1.1</c:v>
                </c:pt>
                <c:pt idx="12">
                  <c:v>1.1</c:v>
                </c:pt>
                <c:pt idx="13">
                  <c:v>1.1</c:v>
                </c:pt>
                <c:pt idx="14">
                  <c:v>1.1</c:v>
                </c:pt>
                <c:pt idx="15">
                  <c:v>1.1</c:v>
                </c:pt>
                <c:pt idx="16">
                  <c:v>1.1</c:v>
                </c:pt>
                <c:pt idx="17">
                  <c:v>1.1</c:v>
                </c:pt>
                <c:pt idx="18">
                  <c:v>1.1</c:v>
                </c:pt>
                <c:pt idx="19">
                  <c:v>1.1</c:v>
                </c:pt>
                <c:pt idx="20">
                  <c:v>1.1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"Median Path"</c:f>
              <c:strCache>
                <c:ptCount val="1"/>
                <c:pt idx="0">
                  <c:v>Median Path</c:v>
                </c:pt>
              </c:strCache>
            </c:strRef>
          </c:tx>
          <c:spPr>
            <a:solidFill>
              <a:srgbClr val="1f3864"/>
            </a:solidFill>
            <a:ln w="320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PROJECTION!$AA$5:$AA$25</c:f>
              <c:numCache>
                <c:formatCode>0.00\x</c:formatCode>
                <c:ptCount val="21"/>
                <c:pt idx="0">
                  <c:v>1.2</c:v>
                </c:pt>
                <c:pt idx="1">
                  <c:v>1.179</c:v>
                </c:pt>
                <c:pt idx="2">
                  <c:v>1.172</c:v>
                </c:pt>
                <c:pt idx="3">
                  <c:v>1.148</c:v>
                </c:pt>
                <c:pt idx="4">
                  <c:v>1.242</c:v>
                </c:pt>
                <c:pt idx="5">
                  <c:v>1.174</c:v>
                </c:pt>
                <c:pt idx="6">
                  <c:v>1.178</c:v>
                </c:pt>
                <c:pt idx="7">
                  <c:v>1.129</c:v>
                </c:pt>
                <c:pt idx="8">
                  <c:v>1.213</c:v>
                </c:pt>
                <c:pt idx="9">
                  <c:v>1.271</c:v>
                </c:pt>
                <c:pt idx="10">
                  <c:v>1.225</c:v>
                </c:pt>
                <c:pt idx="11">
                  <c:v>1.163</c:v>
                </c:pt>
                <c:pt idx="12">
                  <c:v>1.15</c:v>
                </c:pt>
                <c:pt idx="13">
                  <c:v>1.193</c:v>
                </c:pt>
                <c:pt idx="14">
                  <c:v>1.258</c:v>
                </c:pt>
                <c:pt idx="15">
                  <c:v>1.284</c:v>
                </c:pt>
                <c:pt idx="16">
                  <c:v>1.218</c:v>
                </c:pt>
                <c:pt idx="17">
                  <c:v>1.281</c:v>
                </c:pt>
                <c:pt idx="18">
                  <c:v>1.309</c:v>
                </c:pt>
                <c:pt idx="19">
                  <c:v>1.249</c:v>
                </c:pt>
                <c:pt idx="20">
                  <c:v>1.349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"Path 1"</c:f>
              <c:strCache>
                <c:ptCount val="1"/>
                <c:pt idx="0">
                  <c:v>Path 1</c:v>
                </c:pt>
              </c:strCache>
            </c:strRef>
          </c:tx>
          <c:spPr>
            <a:solidFill>
              <a:srgbClr val="4472c4"/>
            </a:solidFill>
            <a:ln w="118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PROJECTION!$O$5:$O$25</c:f>
              <c:numCache>
                <c:formatCode>0.00\x</c:formatCode>
                <c:ptCount val="21"/>
                <c:pt idx="0">
                  <c:v>1.2</c:v>
                </c:pt>
                <c:pt idx="1">
                  <c:v>1.19</c:v>
                </c:pt>
                <c:pt idx="2">
                  <c:v>1.407</c:v>
                </c:pt>
                <c:pt idx="3">
                  <c:v>1.444</c:v>
                </c:pt>
                <c:pt idx="4">
                  <c:v>1.611</c:v>
                </c:pt>
                <c:pt idx="5">
                  <c:v>1.596</c:v>
                </c:pt>
                <c:pt idx="6">
                  <c:v>1.592</c:v>
                </c:pt>
                <c:pt idx="7">
                  <c:v>1.696</c:v>
                </c:pt>
                <c:pt idx="8">
                  <c:v>1.817</c:v>
                </c:pt>
                <c:pt idx="9">
                  <c:v>1.806</c:v>
                </c:pt>
                <c:pt idx="10">
                  <c:v>1.499</c:v>
                </c:pt>
                <c:pt idx="11">
                  <c:v>1.483</c:v>
                </c:pt>
                <c:pt idx="12">
                  <c:v>1.572</c:v>
                </c:pt>
                <c:pt idx="13">
                  <c:v>1.58</c:v>
                </c:pt>
                <c:pt idx="14">
                  <c:v>1.643</c:v>
                </c:pt>
                <c:pt idx="15">
                  <c:v>1.684</c:v>
                </c:pt>
                <c:pt idx="16">
                  <c:v>1.506</c:v>
                </c:pt>
                <c:pt idx="17">
                  <c:v>1.621</c:v>
                </c:pt>
                <c:pt idx="18">
                  <c:v>1.552</c:v>
                </c:pt>
                <c:pt idx="19">
                  <c:v>1.496</c:v>
                </c:pt>
                <c:pt idx="20">
                  <c:v>1.573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"Path 2"</c:f>
              <c:strCache>
                <c:ptCount val="1"/>
                <c:pt idx="0">
                  <c:v>Path 2</c:v>
                </c:pt>
              </c:strCache>
            </c:strRef>
          </c:tx>
          <c:spPr>
            <a:solidFill>
              <a:srgbClr val="ed7d31"/>
            </a:solidFill>
            <a:ln w="118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PROJECTION!$P$5:$P$25</c:f>
              <c:numCache>
                <c:formatCode>0.00\x</c:formatCode>
                <c:ptCount val="21"/>
                <c:pt idx="0">
                  <c:v>1.2</c:v>
                </c:pt>
                <c:pt idx="1">
                  <c:v>1.135</c:v>
                </c:pt>
                <c:pt idx="2">
                  <c:v>1.163</c:v>
                </c:pt>
                <c:pt idx="3">
                  <c:v>1.089</c:v>
                </c:pt>
                <c:pt idx="4">
                  <c:v>1.076</c:v>
                </c:pt>
                <c:pt idx="5">
                  <c:v>1.048</c:v>
                </c:pt>
                <c:pt idx="6">
                  <c:v>1.013</c:v>
                </c:pt>
                <c:pt idx="7">
                  <c:v>0.951</c:v>
                </c:pt>
                <c:pt idx="8">
                  <c:v>0.951</c:v>
                </c:pt>
                <c:pt idx="9">
                  <c:v>0.963</c:v>
                </c:pt>
                <c:pt idx="10">
                  <c:v>1.04</c:v>
                </c:pt>
                <c:pt idx="11">
                  <c:v>0.996</c:v>
                </c:pt>
                <c:pt idx="12">
                  <c:v>1.004</c:v>
                </c:pt>
                <c:pt idx="13">
                  <c:v>1.201</c:v>
                </c:pt>
                <c:pt idx="14">
                  <c:v>1.243</c:v>
                </c:pt>
                <c:pt idx="15">
                  <c:v>1.296</c:v>
                </c:pt>
                <c:pt idx="16">
                  <c:v>1.346</c:v>
                </c:pt>
                <c:pt idx="17">
                  <c:v>1.178</c:v>
                </c:pt>
                <c:pt idx="18">
                  <c:v>1.159</c:v>
                </c:pt>
                <c:pt idx="19">
                  <c:v>0.979</c:v>
                </c:pt>
                <c:pt idx="20">
                  <c:v>1.052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"Path 3"</c:f>
              <c:strCache>
                <c:ptCount val="1"/>
                <c:pt idx="0">
                  <c:v>Path 3</c:v>
                </c:pt>
              </c:strCache>
            </c:strRef>
          </c:tx>
          <c:spPr>
            <a:solidFill>
              <a:srgbClr val="a9d18e"/>
            </a:solidFill>
            <a:ln w="11880">
              <a:solidFill>
                <a:srgbClr val="a9d1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PROJECTION!$Q$5:$Q$25</c:f>
              <c:numCache>
                <c:formatCode>0.00\x</c:formatCode>
                <c:ptCount val="21"/>
                <c:pt idx="0">
                  <c:v>1.2</c:v>
                </c:pt>
                <c:pt idx="1">
                  <c:v>1.379</c:v>
                </c:pt>
                <c:pt idx="2">
                  <c:v>1.326</c:v>
                </c:pt>
                <c:pt idx="3">
                  <c:v>1.531</c:v>
                </c:pt>
                <c:pt idx="4">
                  <c:v>1.404</c:v>
                </c:pt>
                <c:pt idx="5">
                  <c:v>1.28</c:v>
                </c:pt>
                <c:pt idx="6">
                  <c:v>1.342</c:v>
                </c:pt>
                <c:pt idx="7">
                  <c:v>1.261</c:v>
                </c:pt>
                <c:pt idx="8">
                  <c:v>1.216</c:v>
                </c:pt>
                <c:pt idx="9">
                  <c:v>1.33</c:v>
                </c:pt>
                <c:pt idx="10">
                  <c:v>1.234</c:v>
                </c:pt>
                <c:pt idx="11">
                  <c:v>1.21</c:v>
                </c:pt>
                <c:pt idx="12">
                  <c:v>1.202</c:v>
                </c:pt>
                <c:pt idx="13">
                  <c:v>1.243</c:v>
                </c:pt>
                <c:pt idx="14">
                  <c:v>1.322</c:v>
                </c:pt>
                <c:pt idx="15">
                  <c:v>1.315</c:v>
                </c:pt>
                <c:pt idx="16">
                  <c:v>1.198</c:v>
                </c:pt>
                <c:pt idx="17">
                  <c:v>1.303</c:v>
                </c:pt>
                <c:pt idx="18">
                  <c:v>1.645</c:v>
                </c:pt>
                <c:pt idx="19">
                  <c:v>1.762</c:v>
                </c:pt>
                <c:pt idx="20">
                  <c:v>1.849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"Path 4"</c:f>
              <c:strCache>
                <c:ptCount val="1"/>
                <c:pt idx="0">
                  <c:v>Path 4</c:v>
                </c:pt>
              </c:strCache>
            </c:strRef>
          </c:tx>
          <c:spPr>
            <a:solidFill>
              <a:srgbClr val="ff0000"/>
            </a:solidFill>
            <a:ln w="118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PROJECTION!$R$5:$R$25</c:f>
              <c:numCache>
                <c:formatCode>0.00\x</c:formatCode>
                <c:ptCount val="21"/>
                <c:pt idx="0">
                  <c:v>1.2</c:v>
                </c:pt>
                <c:pt idx="1">
                  <c:v>1.168</c:v>
                </c:pt>
                <c:pt idx="2">
                  <c:v>1.148</c:v>
                </c:pt>
                <c:pt idx="3">
                  <c:v>1.03</c:v>
                </c:pt>
                <c:pt idx="4">
                  <c:v>1.086</c:v>
                </c:pt>
                <c:pt idx="5">
                  <c:v>1.077</c:v>
                </c:pt>
                <c:pt idx="6">
                  <c:v>1.198</c:v>
                </c:pt>
                <c:pt idx="7">
                  <c:v>1.106</c:v>
                </c:pt>
                <c:pt idx="8">
                  <c:v>1.237</c:v>
                </c:pt>
                <c:pt idx="9">
                  <c:v>1.21</c:v>
                </c:pt>
                <c:pt idx="10">
                  <c:v>1.156</c:v>
                </c:pt>
                <c:pt idx="11">
                  <c:v>1.116</c:v>
                </c:pt>
                <c:pt idx="12">
                  <c:v>1.066</c:v>
                </c:pt>
                <c:pt idx="13">
                  <c:v>0.905</c:v>
                </c:pt>
                <c:pt idx="14">
                  <c:v>0.955</c:v>
                </c:pt>
                <c:pt idx="15">
                  <c:v>1.019</c:v>
                </c:pt>
                <c:pt idx="16">
                  <c:v>1.132</c:v>
                </c:pt>
                <c:pt idx="17">
                  <c:v>1.201</c:v>
                </c:pt>
                <c:pt idx="18">
                  <c:v>1.27</c:v>
                </c:pt>
                <c:pt idx="19">
                  <c:v>1.114</c:v>
                </c:pt>
                <c:pt idx="20">
                  <c:v>1.134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"Path 5"</c:f>
              <c:strCache>
                <c:ptCount val="1"/>
                <c:pt idx="0">
                  <c:v>Path 5</c:v>
                </c:pt>
              </c:strCache>
            </c:strRef>
          </c:tx>
          <c:spPr>
            <a:solidFill>
              <a:srgbClr val="ffc000"/>
            </a:solidFill>
            <a:ln w="1188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PROJECTION!$S$5:$S$25</c:f>
              <c:numCache>
                <c:formatCode>0.00\x</c:formatCode>
                <c:ptCount val="21"/>
                <c:pt idx="0">
                  <c:v>1.2</c:v>
                </c:pt>
                <c:pt idx="1">
                  <c:v>1.099</c:v>
                </c:pt>
                <c:pt idx="2">
                  <c:v>1.078</c:v>
                </c:pt>
                <c:pt idx="3">
                  <c:v>1.209</c:v>
                </c:pt>
                <c:pt idx="4">
                  <c:v>1.216</c:v>
                </c:pt>
                <c:pt idx="5">
                  <c:v>0.99</c:v>
                </c:pt>
                <c:pt idx="6">
                  <c:v>0.916</c:v>
                </c:pt>
                <c:pt idx="7">
                  <c:v>0.878</c:v>
                </c:pt>
                <c:pt idx="8">
                  <c:v>0.865</c:v>
                </c:pt>
                <c:pt idx="9">
                  <c:v>0.935</c:v>
                </c:pt>
                <c:pt idx="10">
                  <c:v>1.003</c:v>
                </c:pt>
                <c:pt idx="11">
                  <c:v>1.074</c:v>
                </c:pt>
                <c:pt idx="12">
                  <c:v>1.097</c:v>
                </c:pt>
                <c:pt idx="13">
                  <c:v>1.075</c:v>
                </c:pt>
                <c:pt idx="14">
                  <c:v>1.047</c:v>
                </c:pt>
                <c:pt idx="15">
                  <c:v>1.087</c:v>
                </c:pt>
                <c:pt idx="16">
                  <c:v>1.175</c:v>
                </c:pt>
                <c:pt idx="17">
                  <c:v>1.335</c:v>
                </c:pt>
                <c:pt idx="18">
                  <c:v>1.349</c:v>
                </c:pt>
                <c:pt idx="19">
                  <c:v>1.385</c:v>
                </c:pt>
                <c:pt idx="20">
                  <c:v>1.565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"Path 6"</c:f>
              <c:strCache>
                <c:ptCount val="1"/>
                <c:pt idx="0">
                  <c:v>Path 6</c:v>
                </c:pt>
              </c:strCache>
            </c:strRef>
          </c:tx>
          <c:spPr>
            <a:solidFill>
              <a:srgbClr val="00b0f0"/>
            </a:solidFill>
            <a:ln w="1188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PROJECTION!$T$5:$T$25</c:f>
              <c:numCache>
                <c:formatCode>0.00\x</c:formatCode>
                <c:ptCount val="21"/>
                <c:pt idx="0">
                  <c:v>1.2</c:v>
                </c:pt>
                <c:pt idx="1">
                  <c:v>1.103</c:v>
                </c:pt>
                <c:pt idx="2">
                  <c:v>1.182</c:v>
                </c:pt>
                <c:pt idx="3">
                  <c:v>1.113</c:v>
                </c:pt>
                <c:pt idx="4">
                  <c:v>1.268</c:v>
                </c:pt>
                <c:pt idx="5">
                  <c:v>1.423</c:v>
                </c:pt>
                <c:pt idx="6">
                  <c:v>1.628</c:v>
                </c:pt>
                <c:pt idx="7">
                  <c:v>1.848</c:v>
                </c:pt>
                <c:pt idx="8">
                  <c:v>1.982</c:v>
                </c:pt>
                <c:pt idx="9">
                  <c:v>1.832</c:v>
                </c:pt>
                <c:pt idx="10">
                  <c:v>1.912</c:v>
                </c:pt>
                <c:pt idx="11">
                  <c:v>2.06</c:v>
                </c:pt>
                <c:pt idx="12">
                  <c:v>2.147</c:v>
                </c:pt>
                <c:pt idx="13">
                  <c:v>2.133</c:v>
                </c:pt>
                <c:pt idx="14">
                  <c:v>2.167</c:v>
                </c:pt>
                <c:pt idx="15">
                  <c:v>2.242</c:v>
                </c:pt>
                <c:pt idx="16">
                  <c:v>2.071</c:v>
                </c:pt>
                <c:pt idx="17">
                  <c:v>2.194</c:v>
                </c:pt>
                <c:pt idx="18">
                  <c:v>2.3</c:v>
                </c:pt>
                <c:pt idx="19">
                  <c:v>2.283</c:v>
                </c:pt>
                <c:pt idx="20">
                  <c:v>2.415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"Path 7"</c:f>
              <c:strCache>
                <c:ptCount val="1"/>
                <c:pt idx="0">
                  <c:v>Path 7</c:v>
                </c:pt>
              </c:strCache>
            </c:strRef>
          </c:tx>
          <c:spPr>
            <a:solidFill>
              <a:srgbClr val="7030a0"/>
            </a:solidFill>
            <a:ln w="1188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PROJECTION!$U$5:$U$25</c:f>
              <c:numCache>
                <c:formatCode>0.00\x</c:formatCode>
                <c:ptCount val="21"/>
                <c:pt idx="0">
                  <c:v>1.2</c:v>
                </c:pt>
                <c:pt idx="1">
                  <c:v>1.321</c:v>
                </c:pt>
                <c:pt idx="2">
                  <c:v>1.222</c:v>
                </c:pt>
                <c:pt idx="3">
                  <c:v>1.378</c:v>
                </c:pt>
                <c:pt idx="4">
                  <c:v>1.499</c:v>
                </c:pt>
                <c:pt idx="5">
                  <c:v>1.63</c:v>
                </c:pt>
                <c:pt idx="6">
                  <c:v>1.771</c:v>
                </c:pt>
                <c:pt idx="7">
                  <c:v>1.88</c:v>
                </c:pt>
                <c:pt idx="8">
                  <c:v>1.886</c:v>
                </c:pt>
                <c:pt idx="9">
                  <c:v>1.784</c:v>
                </c:pt>
                <c:pt idx="10">
                  <c:v>1.864</c:v>
                </c:pt>
                <c:pt idx="11">
                  <c:v>1.89</c:v>
                </c:pt>
                <c:pt idx="12">
                  <c:v>1.793</c:v>
                </c:pt>
                <c:pt idx="13">
                  <c:v>2.071</c:v>
                </c:pt>
                <c:pt idx="14">
                  <c:v>2.221</c:v>
                </c:pt>
                <c:pt idx="15">
                  <c:v>2.173</c:v>
                </c:pt>
                <c:pt idx="16">
                  <c:v>1.922</c:v>
                </c:pt>
                <c:pt idx="17">
                  <c:v>1.803</c:v>
                </c:pt>
                <c:pt idx="18">
                  <c:v>1.88</c:v>
                </c:pt>
                <c:pt idx="19">
                  <c:v>1.847</c:v>
                </c:pt>
                <c:pt idx="20">
                  <c:v>1.668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"Path 8"</c:f>
              <c:strCache>
                <c:ptCount val="1"/>
                <c:pt idx="0">
                  <c:v>Path 8</c:v>
                </c:pt>
              </c:strCache>
            </c:strRef>
          </c:tx>
          <c:spPr>
            <a:solidFill>
              <a:srgbClr val="ff00ff"/>
            </a:solidFill>
            <a:ln w="1188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PROJECTION!$V$5:$V$25</c:f>
              <c:numCache>
                <c:formatCode>0.00\x</c:formatCode>
                <c:ptCount val="21"/>
                <c:pt idx="0">
                  <c:v>1.2</c:v>
                </c:pt>
                <c:pt idx="1">
                  <c:v>1.23</c:v>
                </c:pt>
                <c:pt idx="2">
                  <c:v>1.218</c:v>
                </c:pt>
                <c:pt idx="3">
                  <c:v>1.183</c:v>
                </c:pt>
                <c:pt idx="4">
                  <c:v>1.074</c:v>
                </c:pt>
                <c:pt idx="5">
                  <c:v>1.106</c:v>
                </c:pt>
                <c:pt idx="6">
                  <c:v>1.018</c:v>
                </c:pt>
                <c:pt idx="7">
                  <c:v>1.004</c:v>
                </c:pt>
                <c:pt idx="8">
                  <c:v>1.105</c:v>
                </c:pt>
                <c:pt idx="9">
                  <c:v>1.225</c:v>
                </c:pt>
                <c:pt idx="10">
                  <c:v>1.216</c:v>
                </c:pt>
                <c:pt idx="11">
                  <c:v>0.953</c:v>
                </c:pt>
                <c:pt idx="12">
                  <c:v>1.016</c:v>
                </c:pt>
                <c:pt idx="13">
                  <c:v>0.946</c:v>
                </c:pt>
                <c:pt idx="14">
                  <c:v>0.848</c:v>
                </c:pt>
                <c:pt idx="15">
                  <c:v>0.903</c:v>
                </c:pt>
                <c:pt idx="16">
                  <c:v>0.781</c:v>
                </c:pt>
                <c:pt idx="17">
                  <c:v>0.829</c:v>
                </c:pt>
                <c:pt idx="18">
                  <c:v>0.894</c:v>
                </c:pt>
                <c:pt idx="19">
                  <c:v>0.934</c:v>
                </c:pt>
                <c:pt idx="20">
                  <c:v>0.953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"Path 9"</c:f>
              <c:strCache>
                <c:ptCount val="1"/>
                <c:pt idx="0">
                  <c:v>Path 9</c:v>
                </c:pt>
              </c:strCache>
            </c:strRef>
          </c:tx>
          <c:spPr>
            <a:solidFill>
              <a:srgbClr val="00b050"/>
            </a:solidFill>
            <a:ln w="1188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PROJECTION!$W$5:$W$25</c:f>
              <c:numCache>
                <c:formatCode>0.00\x</c:formatCode>
                <c:ptCount val="21"/>
                <c:pt idx="0">
                  <c:v>1.2</c:v>
                </c:pt>
                <c:pt idx="1">
                  <c:v>1.193</c:v>
                </c:pt>
                <c:pt idx="2">
                  <c:v>1.151</c:v>
                </c:pt>
                <c:pt idx="3">
                  <c:v>1.059</c:v>
                </c:pt>
                <c:pt idx="4">
                  <c:v>1.284</c:v>
                </c:pt>
                <c:pt idx="5">
                  <c:v>1.242</c:v>
                </c:pt>
                <c:pt idx="6">
                  <c:v>1.157</c:v>
                </c:pt>
                <c:pt idx="7">
                  <c:v>1.152</c:v>
                </c:pt>
                <c:pt idx="8">
                  <c:v>1.21</c:v>
                </c:pt>
                <c:pt idx="9">
                  <c:v>1.317</c:v>
                </c:pt>
                <c:pt idx="10">
                  <c:v>1.297</c:v>
                </c:pt>
                <c:pt idx="11">
                  <c:v>1.282</c:v>
                </c:pt>
                <c:pt idx="12">
                  <c:v>1.206</c:v>
                </c:pt>
                <c:pt idx="13">
                  <c:v>1.185</c:v>
                </c:pt>
                <c:pt idx="14">
                  <c:v>1.274</c:v>
                </c:pt>
                <c:pt idx="15">
                  <c:v>1.271</c:v>
                </c:pt>
                <c:pt idx="16">
                  <c:v>1.238</c:v>
                </c:pt>
                <c:pt idx="17">
                  <c:v>1.259</c:v>
                </c:pt>
                <c:pt idx="18">
                  <c:v>1.186</c:v>
                </c:pt>
                <c:pt idx="19">
                  <c:v>1.001</c:v>
                </c:pt>
                <c:pt idx="20">
                  <c:v>0.966</c:v>
                </c:pt>
              </c:numCache>
            </c:numRef>
          </c:val>
          <c:smooth val="1"/>
        </c:ser>
        <c:ser>
          <c:idx val="11"/>
          <c:order val="11"/>
          <c:tx>
            <c:strRef>
              <c:f>"Path 10"</c:f>
              <c:strCache>
                <c:ptCount val="1"/>
                <c:pt idx="0">
                  <c:v>Path 10</c:v>
                </c:pt>
              </c:strCache>
            </c:strRef>
          </c:tx>
          <c:spPr>
            <a:solidFill>
              <a:srgbClr val="bfbfbf"/>
            </a:solidFill>
            <a:ln w="1188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PROJECTION!$X$5:$X$25</c:f>
              <c:numCache>
                <c:formatCode>0.00\x</c:formatCode>
                <c:ptCount val="21"/>
                <c:pt idx="0">
                  <c:v>1.2</c:v>
                </c:pt>
                <c:pt idx="1">
                  <c:v>0.948</c:v>
                </c:pt>
                <c:pt idx="2">
                  <c:v>0.931</c:v>
                </c:pt>
                <c:pt idx="3">
                  <c:v>0.965</c:v>
                </c:pt>
                <c:pt idx="4">
                  <c:v>1.047</c:v>
                </c:pt>
                <c:pt idx="5">
                  <c:v>1.096</c:v>
                </c:pt>
                <c:pt idx="6">
                  <c:v>1.102</c:v>
                </c:pt>
                <c:pt idx="7">
                  <c:v>1.018</c:v>
                </c:pt>
                <c:pt idx="8">
                  <c:v>0.936</c:v>
                </c:pt>
                <c:pt idx="9">
                  <c:v>0.923</c:v>
                </c:pt>
                <c:pt idx="10">
                  <c:v>0.864</c:v>
                </c:pt>
                <c:pt idx="11">
                  <c:v>0.802</c:v>
                </c:pt>
                <c:pt idx="12">
                  <c:v>0.807</c:v>
                </c:pt>
                <c:pt idx="13">
                  <c:v>0.756</c:v>
                </c:pt>
                <c:pt idx="14">
                  <c:v>0.656</c:v>
                </c:pt>
                <c:pt idx="15">
                  <c:v>0.647</c:v>
                </c:pt>
                <c:pt idx="16">
                  <c:v>0.601</c:v>
                </c:pt>
                <c:pt idx="17">
                  <c:v>0.628</c:v>
                </c:pt>
                <c:pt idx="18">
                  <c:v>0.699</c:v>
                </c:pt>
                <c:pt idx="19">
                  <c:v>0.745</c:v>
                </c:pt>
                <c:pt idx="20">
                  <c:v>0.774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230200"/>
        <c:axId val="68437755"/>
      </c:lineChart>
      <c:catAx>
        <c:axId val="672302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37755"/>
        <c:crosses val="autoZero"/>
        <c:auto val="1"/>
        <c:lblAlgn val="ctr"/>
        <c:lblOffset val="100"/>
        <c:noMultiLvlLbl val="0"/>
      </c:catAx>
      <c:valAx>
        <c:axId val="68437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Assets / Liabilities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302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15</xdr:col>
      <xdr:colOff>125640</xdr:colOff>
      <xdr:row>55</xdr:row>
      <xdr:rowOff>86040</xdr:rowOff>
    </xdr:to>
    <xdr:graphicFrame>
      <xdr:nvGraphicFramePr>
        <xdr:cNvPr id="0" name="Chart 1"/>
        <xdr:cNvGraphicFramePr/>
      </xdr:nvGraphicFramePr>
      <xdr:xfrm>
        <a:off x="0" y="6781680"/>
        <a:ext cx="935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2"/>
    <col collapsed="false" customWidth="true" hidden="false" outlineLevel="0" max="3" min="3" style="1" width="60"/>
    <col collapsed="false" customWidth="true" hidden="false" outlineLevel="0" max="5" min="4" style="1" width="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</row>
    <row r="5" customFormat="false" ht="31.5" hidden="false" customHeight="true" outlineLevel="0" collapsed="false">
      <c r="A5" s="5" t="s">
        <v>3</v>
      </c>
      <c r="B5" s="6" t="n">
        <v>1000</v>
      </c>
      <c r="C5" s="7" t="s">
        <v>4</v>
      </c>
    </row>
    <row r="6" customFormat="false" ht="31.5" hidden="false" customHeight="true" outlineLevel="0" collapsed="false">
      <c r="A6" s="5" t="s">
        <v>5</v>
      </c>
      <c r="B6" s="6" t="n">
        <v>1200</v>
      </c>
      <c r="C6" s="7" t="s">
        <v>6</v>
      </c>
    </row>
    <row r="7" customFormat="false" ht="31.5" hidden="false" customHeight="true" outlineLevel="0" collapsed="false">
      <c r="A7" s="5" t="s">
        <v>7</v>
      </c>
      <c r="B7" s="8" t="n">
        <f aca="false">B6-B5</f>
        <v>200</v>
      </c>
      <c r="C7" s="7" t="s">
        <v>8</v>
      </c>
    </row>
    <row r="8" customFormat="false" ht="31.5" hidden="false" customHeight="true" outlineLevel="0" collapsed="false">
      <c r="A8" s="5" t="s">
        <v>9</v>
      </c>
      <c r="B8" s="9" t="n">
        <v>0.05</v>
      </c>
      <c r="C8" s="7" t="s">
        <v>10</v>
      </c>
    </row>
    <row r="9" customFormat="false" ht="21.75" hidden="false" customHeight="true" outlineLevel="0" collapsed="false">
      <c r="A9" s="10" t="s">
        <v>11</v>
      </c>
      <c r="B9" s="10"/>
      <c r="C9" s="10"/>
      <c r="D9" s="10"/>
      <c r="E9" s="10"/>
    </row>
    <row r="10" customFormat="false" ht="31.5" hidden="false" customHeight="true" outlineLevel="0" collapsed="false">
      <c r="A10" s="5" t="s">
        <v>12</v>
      </c>
      <c r="B10" s="9" t="n">
        <v>0.055</v>
      </c>
      <c r="C10" s="7" t="s">
        <v>13</v>
      </c>
    </row>
    <row r="11" customFormat="false" ht="31.5" hidden="false" customHeight="true" outlineLevel="0" collapsed="false">
      <c r="A11" s="5" t="s">
        <v>14</v>
      </c>
      <c r="B11" s="9" t="n">
        <v>0.08</v>
      </c>
      <c r="C11" s="7" t="s">
        <v>15</v>
      </c>
    </row>
    <row r="12" customFormat="false" ht="31.5" hidden="false" customHeight="true" outlineLevel="0" collapsed="false">
      <c r="A12" s="5" t="s">
        <v>16</v>
      </c>
      <c r="B12" s="11" t="s">
        <v>17</v>
      </c>
      <c r="C12" s="7" t="s">
        <v>18</v>
      </c>
    </row>
    <row r="13" customFormat="false" ht="31.5" hidden="false" customHeight="true" outlineLevel="0" collapsed="false">
      <c r="A13" s="5" t="s">
        <v>19</v>
      </c>
      <c r="B13" s="12" t="s">
        <v>20</v>
      </c>
      <c r="C13" s="7" t="s">
        <v>21</v>
      </c>
    </row>
    <row r="14" customFormat="false" ht="31.5" hidden="false" customHeight="true" outlineLevel="0" collapsed="false">
      <c r="A14" s="5" t="s">
        <v>22</v>
      </c>
      <c r="B14" s="12" t="s">
        <v>23</v>
      </c>
      <c r="C14" s="7" t="s">
        <v>24</v>
      </c>
    </row>
    <row r="15" customFormat="false" ht="21.75" hidden="false" customHeight="true" outlineLevel="0" collapsed="false">
      <c r="A15" s="4" t="s">
        <v>25</v>
      </c>
      <c r="B15" s="4"/>
      <c r="C15" s="4"/>
      <c r="D15" s="4"/>
      <c r="E15" s="4"/>
    </row>
    <row r="16" customFormat="false" ht="31.5" hidden="false" customHeight="true" outlineLevel="0" collapsed="false">
      <c r="A16" s="5" t="s">
        <v>26</v>
      </c>
      <c r="B16" s="13" t="n">
        <v>10</v>
      </c>
      <c r="C16" s="7" t="s">
        <v>27</v>
      </c>
    </row>
    <row r="17" customFormat="false" ht="31.5" hidden="false" customHeight="true" outlineLevel="0" collapsed="false">
      <c r="A17" s="5" t="s">
        <v>28</v>
      </c>
      <c r="B17" s="13" t="n">
        <v>20</v>
      </c>
      <c r="C17" s="7" t="s">
        <v>29</v>
      </c>
    </row>
    <row r="18" customFormat="false" ht="31.5" hidden="false" customHeight="true" outlineLevel="0" collapsed="false">
      <c r="A18" s="5" t="s">
        <v>30</v>
      </c>
      <c r="B18" s="14" t="n">
        <v>1.1</v>
      </c>
      <c r="C18" s="7" t="s">
        <v>31</v>
      </c>
    </row>
  </sheetData>
  <mergeCells count="5">
    <mergeCell ref="A1:E1"/>
    <mergeCell ref="A2:E2"/>
    <mergeCell ref="A4:E4"/>
    <mergeCell ref="A9:E9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11" min="2" style="1" width="10"/>
    <col collapsed="false" customWidth="true" hidden="false" outlineLevel="0" max="12" min="12" style="1" width="2"/>
    <col collapsed="false" customWidth="true" hidden="false" outlineLevel="0" max="13" min="13" style="1" width="12"/>
    <col collapsed="false" customWidth="true" hidden="false" outlineLevel="0" max="14" min="14" style="1" width="2"/>
    <col collapsed="false" customWidth="true" hidden="false" outlineLevel="0" max="24" min="15" style="1" width="9"/>
    <col collapsed="false" customWidth="true" hidden="false" outlineLevel="0" max="25" min="25" style="1" width="2"/>
    <col collapsed="false" customWidth="true" hidden="false" outlineLevel="0" max="26" min="26" style="1" width="8"/>
    <col collapsed="false" customWidth="true" hidden="false" outlineLevel="0" max="27" min="27" style="1" width="9"/>
  </cols>
  <sheetData>
    <row r="1" customFormat="false" ht="25.5" hidden="false" customHeight="true" outlineLevel="0" collapsed="false">
      <c r="A1" s="15" t="s">
        <v>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customFormat="false" ht="37.5" hidden="false" customHeight="true" outlineLevel="0" collapsed="false">
      <c r="B2" s="4" t="s">
        <v>33</v>
      </c>
      <c r="C2" s="4"/>
      <c r="D2" s="4"/>
      <c r="E2" s="4"/>
      <c r="F2" s="4"/>
      <c r="G2" s="4"/>
      <c r="H2" s="4"/>
      <c r="I2" s="4"/>
      <c r="J2" s="4"/>
      <c r="K2" s="4"/>
      <c r="M2" s="16" t="s">
        <v>34</v>
      </c>
      <c r="O2" s="10" t="s">
        <v>35</v>
      </c>
      <c r="P2" s="10"/>
      <c r="Q2" s="10"/>
      <c r="R2" s="10"/>
      <c r="S2" s="10"/>
      <c r="T2" s="10"/>
      <c r="U2" s="10"/>
      <c r="V2" s="10"/>
      <c r="W2" s="10"/>
      <c r="X2" s="10"/>
      <c r="Z2" s="17" t="s">
        <v>36</v>
      </c>
      <c r="AA2" s="18" t="s">
        <v>37</v>
      </c>
    </row>
    <row r="3" customFormat="false" ht="31.5" hidden="false" customHeight="true" outlineLevel="0" collapsed="false">
      <c r="A3" s="16" t="s">
        <v>38</v>
      </c>
      <c r="B3" s="19" t="s">
        <v>39</v>
      </c>
      <c r="C3" s="19" t="s">
        <v>40</v>
      </c>
      <c r="D3" s="19" t="s">
        <v>41</v>
      </c>
      <c r="E3" s="19" t="s">
        <v>42</v>
      </c>
      <c r="F3" s="19" t="s">
        <v>43</v>
      </c>
      <c r="G3" s="19" t="s">
        <v>44</v>
      </c>
      <c r="H3" s="19" t="s">
        <v>45</v>
      </c>
      <c r="I3" s="19" t="s">
        <v>46</v>
      </c>
      <c r="J3" s="19" t="s">
        <v>47</v>
      </c>
      <c r="K3" s="19" t="s">
        <v>48</v>
      </c>
      <c r="M3" s="16" t="s">
        <v>49</v>
      </c>
      <c r="O3" s="20" t="s">
        <v>39</v>
      </c>
      <c r="P3" s="20" t="s">
        <v>40</v>
      </c>
      <c r="Q3" s="20" t="s">
        <v>41</v>
      </c>
      <c r="R3" s="20" t="s">
        <v>42</v>
      </c>
      <c r="S3" s="20" t="s">
        <v>43</v>
      </c>
      <c r="T3" s="20" t="s">
        <v>44</v>
      </c>
      <c r="U3" s="20" t="s">
        <v>45</v>
      </c>
      <c r="V3" s="20" t="s">
        <v>46</v>
      </c>
      <c r="W3" s="20" t="s">
        <v>47</v>
      </c>
      <c r="X3" s="20" t="s">
        <v>48</v>
      </c>
      <c r="Z3" s="17" t="s">
        <v>50</v>
      </c>
      <c r="AA3" s="18" t="s">
        <v>51</v>
      </c>
    </row>
    <row r="4" customFormat="false" ht="19.5" hidden="false" customHeight="true" outlineLevel="0" collapsed="false">
      <c r="B4" s="21" t="s">
        <v>52</v>
      </c>
      <c r="C4" s="21"/>
      <c r="D4" s="21"/>
      <c r="E4" s="21"/>
      <c r="F4" s="21"/>
      <c r="G4" s="21"/>
      <c r="H4" s="21"/>
      <c r="I4" s="21"/>
      <c r="J4" s="21"/>
      <c r="K4" s="21"/>
      <c r="M4" s="22" t="s">
        <v>53</v>
      </c>
      <c r="O4" s="23" t="s">
        <v>54</v>
      </c>
      <c r="P4" s="23"/>
      <c r="Q4" s="23"/>
      <c r="R4" s="23"/>
      <c r="S4" s="23"/>
      <c r="T4" s="23"/>
      <c r="U4" s="23"/>
      <c r="V4" s="23"/>
      <c r="W4" s="23"/>
      <c r="X4" s="23"/>
    </row>
    <row r="5" customFormat="false" ht="16.5" hidden="false" customHeight="true" outlineLevel="0" collapsed="false">
      <c r="A5" s="24" t="n">
        <v>0</v>
      </c>
      <c r="B5" s="25" t="n">
        <v>1200</v>
      </c>
      <c r="C5" s="25" t="n">
        <v>1200</v>
      </c>
      <c r="D5" s="25" t="n">
        <v>1200</v>
      </c>
      <c r="E5" s="25" t="n">
        <v>1200</v>
      </c>
      <c r="F5" s="25" t="n">
        <v>1200</v>
      </c>
      <c r="G5" s="25" t="n">
        <v>1200</v>
      </c>
      <c r="H5" s="25" t="n">
        <v>1200</v>
      </c>
      <c r="I5" s="25" t="n">
        <v>1200</v>
      </c>
      <c r="J5" s="25" t="n">
        <v>1200</v>
      </c>
      <c r="K5" s="25" t="n">
        <v>1200</v>
      </c>
      <c r="M5" s="26" t="n">
        <v>1000</v>
      </c>
      <c r="O5" s="27" t="n">
        <v>1.2</v>
      </c>
      <c r="P5" s="27" t="n">
        <v>1.2</v>
      </c>
      <c r="Q5" s="27" t="n">
        <v>1.2</v>
      </c>
      <c r="R5" s="27" t="n">
        <v>1.2</v>
      </c>
      <c r="S5" s="27" t="n">
        <v>1.2</v>
      </c>
      <c r="T5" s="27" t="n">
        <v>1.2</v>
      </c>
      <c r="U5" s="27" t="n">
        <v>1.2</v>
      </c>
      <c r="V5" s="27" t="n">
        <v>1.2</v>
      </c>
      <c r="W5" s="27" t="n">
        <v>1.2</v>
      </c>
      <c r="X5" s="27" t="n">
        <v>1.2</v>
      </c>
      <c r="Z5" s="28" t="n">
        <v>1.1</v>
      </c>
      <c r="AA5" s="29" t="n">
        <v>1.2</v>
      </c>
    </row>
    <row r="6" customFormat="false" ht="16.5" hidden="false" customHeight="true" outlineLevel="0" collapsed="false">
      <c r="A6" s="30" t="n">
        <v>1</v>
      </c>
      <c r="B6" s="31" t="n">
        <v>1249.5</v>
      </c>
      <c r="C6" s="31" t="n">
        <v>1192</v>
      </c>
      <c r="D6" s="31" t="n">
        <v>1447.9</v>
      </c>
      <c r="E6" s="31" t="n">
        <v>1226.4</v>
      </c>
      <c r="F6" s="31" t="n">
        <v>1154.3</v>
      </c>
      <c r="G6" s="31" t="n">
        <v>1158.6</v>
      </c>
      <c r="H6" s="31" t="n">
        <v>1387.1</v>
      </c>
      <c r="I6" s="31" t="n">
        <v>1291.1</v>
      </c>
      <c r="J6" s="31" t="n">
        <v>1252.5</v>
      </c>
      <c r="K6" s="31" t="n">
        <v>995</v>
      </c>
      <c r="M6" s="32" t="n">
        <v>1050</v>
      </c>
      <c r="O6" s="33" t="n">
        <v>1.19</v>
      </c>
      <c r="P6" s="33" t="n">
        <v>1.135</v>
      </c>
      <c r="Q6" s="33" t="n">
        <v>1.379</v>
      </c>
      <c r="R6" s="33" t="n">
        <v>1.168</v>
      </c>
      <c r="S6" s="34" t="n">
        <v>1.099</v>
      </c>
      <c r="T6" s="33" t="n">
        <v>1.103</v>
      </c>
      <c r="U6" s="33" t="n">
        <v>1.321</v>
      </c>
      <c r="V6" s="33" t="n">
        <v>1.23</v>
      </c>
      <c r="W6" s="33" t="n">
        <v>1.193</v>
      </c>
      <c r="X6" s="34" t="n">
        <v>0.948</v>
      </c>
      <c r="Z6" s="28" t="n">
        <v>1.1</v>
      </c>
      <c r="AA6" s="29" t="n">
        <v>1.179</v>
      </c>
    </row>
    <row r="7" customFormat="false" ht="16.5" hidden="false" customHeight="true" outlineLevel="0" collapsed="false">
      <c r="A7" s="30" t="n">
        <v>2</v>
      </c>
      <c r="B7" s="31" t="n">
        <v>1551.3</v>
      </c>
      <c r="C7" s="31" t="n">
        <v>1281.9</v>
      </c>
      <c r="D7" s="31" t="n">
        <v>1461.8</v>
      </c>
      <c r="E7" s="31" t="n">
        <v>1265.8</v>
      </c>
      <c r="F7" s="31" t="n">
        <v>1188.8</v>
      </c>
      <c r="G7" s="31" t="n">
        <v>1303</v>
      </c>
      <c r="H7" s="31" t="n">
        <v>1346.7</v>
      </c>
      <c r="I7" s="31" t="n">
        <v>1342.6</v>
      </c>
      <c r="J7" s="31" t="n">
        <v>1269</v>
      </c>
      <c r="K7" s="31" t="n">
        <v>1026</v>
      </c>
      <c r="M7" s="32" t="n">
        <v>1102.5</v>
      </c>
      <c r="O7" s="33" t="n">
        <v>1.407</v>
      </c>
      <c r="P7" s="33" t="n">
        <v>1.163</v>
      </c>
      <c r="Q7" s="33" t="n">
        <v>1.326</v>
      </c>
      <c r="R7" s="33" t="n">
        <v>1.148</v>
      </c>
      <c r="S7" s="34" t="n">
        <v>1.078</v>
      </c>
      <c r="T7" s="33" t="n">
        <v>1.182</v>
      </c>
      <c r="U7" s="33" t="n">
        <v>1.222</v>
      </c>
      <c r="V7" s="33" t="n">
        <v>1.218</v>
      </c>
      <c r="W7" s="33" t="n">
        <v>1.151</v>
      </c>
      <c r="X7" s="34" t="n">
        <v>0.931</v>
      </c>
      <c r="Z7" s="28" t="n">
        <v>1.1</v>
      </c>
      <c r="AA7" s="29" t="n">
        <v>1.172</v>
      </c>
    </row>
    <row r="8" customFormat="false" ht="16.5" hidden="false" customHeight="true" outlineLevel="0" collapsed="false">
      <c r="A8" s="30" t="n">
        <v>3</v>
      </c>
      <c r="B8" s="31" t="n">
        <v>1671.2</v>
      </c>
      <c r="C8" s="31" t="n">
        <v>1260.7</v>
      </c>
      <c r="D8" s="31" t="n">
        <v>1772.7</v>
      </c>
      <c r="E8" s="31" t="n">
        <v>1192.8</v>
      </c>
      <c r="F8" s="31" t="n">
        <v>1400</v>
      </c>
      <c r="G8" s="31" t="n">
        <v>1288.4</v>
      </c>
      <c r="H8" s="31" t="n">
        <v>1595.4</v>
      </c>
      <c r="I8" s="31" t="n">
        <v>1369.1</v>
      </c>
      <c r="J8" s="31" t="n">
        <v>1225.7</v>
      </c>
      <c r="K8" s="31" t="n">
        <v>1116.7</v>
      </c>
      <c r="M8" s="32" t="n">
        <v>1157.6</v>
      </c>
      <c r="O8" s="33" t="n">
        <v>1.444</v>
      </c>
      <c r="P8" s="34" t="n">
        <v>1.089</v>
      </c>
      <c r="Q8" s="33" t="n">
        <v>1.531</v>
      </c>
      <c r="R8" s="34" t="n">
        <v>1.03</v>
      </c>
      <c r="S8" s="33" t="n">
        <v>1.209</v>
      </c>
      <c r="T8" s="33" t="n">
        <v>1.113</v>
      </c>
      <c r="U8" s="33" t="n">
        <v>1.378</v>
      </c>
      <c r="V8" s="33" t="n">
        <v>1.183</v>
      </c>
      <c r="W8" s="34" t="n">
        <v>1.059</v>
      </c>
      <c r="X8" s="34" t="n">
        <v>0.965</v>
      </c>
      <c r="Z8" s="28" t="n">
        <v>1.1</v>
      </c>
      <c r="AA8" s="29" t="n">
        <v>1.148</v>
      </c>
    </row>
    <row r="9" customFormat="false" ht="16.5" hidden="false" customHeight="true" outlineLevel="0" collapsed="false">
      <c r="A9" s="30" t="n">
        <v>4</v>
      </c>
      <c r="B9" s="31" t="n">
        <v>1957.7</v>
      </c>
      <c r="C9" s="31" t="n">
        <v>1308</v>
      </c>
      <c r="D9" s="31" t="n">
        <v>1706.8</v>
      </c>
      <c r="E9" s="31" t="n">
        <v>1319.9</v>
      </c>
      <c r="F9" s="31" t="n">
        <v>1478.2</v>
      </c>
      <c r="G9" s="31" t="n">
        <v>1541.5</v>
      </c>
      <c r="H9" s="31" t="n">
        <v>1822.6</v>
      </c>
      <c r="I9" s="31" t="n">
        <v>1305.2</v>
      </c>
      <c r="J9" s="31" t="n">
        <v>1560.1</v>
      </c>
      <c r="K9" s="31" t="n">
        <v>1272.8</v>
      </c>
      <c r="M9" s="32" t="n">
        <v>1215.5</v>
      </c>
      <c r="O9" s="33" t="n">
        <v>1.611</v>
      </c>
      <c r="P9" s="34" t="n">
        <v>1.076</v>
      </c>
      <c r="Q9" s="33" t="n">
        <v>1.404</v>
      </c>
      <c r="R9" s="34" t="n">
        <v>1.086</v>
      </c>
      <c r="S9" s="33" t="n">
        <v>1.216</v>
      </c>
      <c r="T9" s="33" t="n">
        <v>1.268</v>
      </c>
      <c r="U9" s="33" t="n">
        <v>1.499</v>
      </c>
      <c r="V9" s="34" t="n">
        <v>1.074</v>
      </c>
      <c r="W9" s="33" t="n">
        <v>1.284</v>
      </c>
      <c r="X9" s="34" t="n">
        <v>1.047</v>
      </c>
      <c r="Z9" s="28" t="n">
        <v>1.1</v>
      </c>
      <c r="AA9" s="29" t="n">
        <v>1.242</v>
      </c>
    </row>
    <row r="10" customFormat="false" ht="16.5" hidden="false" customHeight="true" outlineLevel="0" collapsed="false">
      <c r="A10" s="30" t="n">
        <v>5</v>
      </c>
      <c r="B10" s="31" t="n">
        <v>2036.4</v>
      </c>
      <c r="C10" s="31" t="n">
        <v>1336.9</v>
      </c>
      <c r="D10" s="31" t="n">
        <v>1634</v>
      </c>
      <c r="E10" s="31" t="n">
        <v>1375</v>
      </c>
      <c r="F10" s="31" t="n">
        <v>1263.1</v>
      </c>
      <c r="G10" s="31" t="n">
        <v>1816.7</v>
      </c>
      <c r="H10" s="31" t="n">
        <v>2080.3</v>
      </c>
      <c r="I10" s="31" t="n">
        <v>1411.9</v>
      </c>
      <c r="J10" s="31" t="n">
        <v>1585.7</v>
      </c>
      <c r="K10" s="31" t="n">
        <v>1398.5</v>
      </c>
      <c r="M10" s="32" t="n">
        <v>1276.3</v>
      </c>
      <c r="O10" s="33" t="n">
        <v>1.596</v>
      </c>
      <c r="P10" s="34" t="n">
        <v>1.048</v>
      </c>
      <c r="Q10" s="33" t="n">
        <v>1.28</v>
      </c>
      <c r="R10" s="34" t="n">
        <v>1.077</v>
      </c>
      <c r="S10" s="34" t="n">
        <v>0.99</v>
      </c>
      <c r="T10" s="33" t="n">
        <v>1.423</v>
      </c>
      <c r="U10" s="33" t="n">
        <v>1.63</v>
      </c>
      <c r="V10" s="33" t="n">
        <v>1.106</v>
      </c>
      <c r="W10" s="33" t="n">
        <v>1.242</v>
      </c>
      <c r="X10" s="34" t="n">
        <v>1.096</v>
      </c>
      <c r="Z10" s="28" t="n">
        <v>1.1</v>
      </c>
      <c r="AA10" s="29" t="n">
        <v>1.174</v>
      </c>
    </row>
    <row r="11" customFormat="false" ht="16.5" hidden="false" customHeight="true" outlineLevel="0" collapsed="false">
      <c r="A11" s="30" t="n">
        <v>6</v>
      </c>
      <c r="B11" s="31" t="n">
        <v>2132.9</v>
      </c>
      <c r="C11" s="31" t="n">
        <v>1356.9</v>
      </c>
      <c r="D11" s="31" t="n">
        <v>1798.7</v>
      </c>
      <c r="E11" s="31" t="n">
        <v>1605.3</v>
      </c>
      <c r="F11" s="31" t="n">
        <v>1227.8</v>
      </c>
      <c r="G11" s="31" t="n">
        <v>2182.3</v>
      </c>
      <c r="H11" s="31" t="n">
        <v>2372.9</v>
      </c>
      <c r="I11" s="31" t="n">
        <v>1364.7</v>
      </c>
      <c r="J11" s="31" t="n">
        <v>1551</v>
      </c>
      <c r="K11" s="31" t="n">
        <v>1477.1</v>
      </c>
      <c r="M11" s="32" t="n">
        <v>1340.1</v>
      </c>
      <c r="O11" s="33" t="n">
        <v>1.592</v>
      </c>
      <c r="P11" s="34" t="n">
        <v>1.013</v>
      </c>
      <c r="Q11" s="33" t="n">
        <v>1.342</v>
      </c>
      <c r="R11" s="33" t="n">
        <v>1.198</v>
      </c>
      <c r="S11" s="34" t="n">
        <v>0.916</v>
      </c>
      <c r="T11" s="33" t="n">
        <v>1.628</v>
      </c>
      <c r="U11" s="33" t="n">
        <v>1.771</v>
      </c>
      <c r="V11" s="34" t="n">
        <v>1.018</v>
      </c>
      <c r="W11" s="33" t="n">
        <v>1.157</v>
      </c>
      <c r="X11" s="33" t="n">
        <v>1.102</v>
      </c>
      <c r="Z11" s="28" t="n">
        <v>1.1</v>
      </c>
      <c r="AA11" s="29" t="n">
        <v>1.178</v>
      </c>
    </row>
    <row r="12" customFormat="false" ht="16.5" hidden="false" customHeight="true" outlineLevel="0" collapsed="false">
      <c r="A12" s="30" t="n">
        <v>7</v>
      </c>
      <c r="B12" s="31" t="n">
        <v>2386.1</v>
      </c>
      <c r="C12" s="31" t="n">
        <v>1338.7</v>
      </c>
      <c r="D12" s="31" t="n">
        <v>1774.6</v>
      </c>
      <c r="E12" s="31" t="n">
        <v>1556</v>
      </c>
      <c r="F12" s="31" t="n">
        <v>1235.7</v>
      </c>
      <c r="G12" s="31" t="n">
        <v>2600</v>
      </c>
      <c r="H12" s="31" t="n">
        <v>2646</v>
      </c>
      <c r="I12" s="31" t="n">
        <v>1413</v>
      </c>
      <c r="J12" s="31" t="n">
        <v>1621.4</v>
      </c>
      <c r="K12" s="31" t="n">
        <v>1433.1</v>
      </c>
      <c r="M12" s="32" t="n">
        <v>1407.1</v>
      </c>
      <c r="O12" s="33" t="n">
        <v>1.696</v>
      </c>
      <c r="P12" s="34" t="n">
        <v>0.951</v>
      </c>
      <c r="Q12" s="33" t="n">
        <v>1.261</v>
      </c>
      <c r="R12" s="33" t="n">
        <v>1.106</v>
      </c>
      <c r="S12" s="34" t="n">
        <v>0.878</v>
      </c>
      <c r="T12" s="33" t="n">
        <v>1.848</v>
      </c>
      <c r="U12" s="33" t="n">
        <v>1.88</v>
      </c>
      <c r="V12" s="34" t="n">
        <v>1.004</v>
      </c>
      <c r="W12" s="33" t="n">
        <v>1.152</v>
      </c>
      <c r="X12" s="34" t="n">
        <v>1.018</v>
      </c>
      <c r="Z12" s="28" t="n">
        <v>1.1</v>
      </c>
      <c r="AA12" s="29" t="n">
        <v>1.129</v>
      </c>
    </row>
    <row r="13" customFormat="false" ht="16.5" hidden="false" customHeight="true" outlineLevel="0" collapsed="false">
      <c r="A13" s="30" t="n">
        <v>8</v>
      </c>
      <c r="B13" s="31" t="n">
        <v>2684.6</v>
      </c>
      <c r="C13" s="31" t="n">
        <v>1404.8</v>
      </c>
      <c r="D13" s="31" t="n">
        <v>1796.1</v>
      </c>
      <c r="E13" s="31" t="n">
        <v>1827.7</v>
      </c>
      <c r="F13" s="31" t="n">
        <v>1278.1</v>
      </c>
      <c r="G13" s="31" t="n">
        <v>2928.7</v>
      </c>
      <c r="H13" s="31" t="n">
        <v>2786.9</v>
      </c>
      <c r="I13" s="31" t="n">
        <v>1632.9</v>
      </c>
      <c r="J13" s="31" t="n">
        <v>1788.3</v>
      </c>
      <c r="K13" s="31" t="n">
        <v>1382.3</v>
      </c>
      <c r="M13" s="32" t="n">
        <v>1477.5</v>
      </c>
      <c r="O13" s="33" t="n">
        <v>1.817</v>
      </c>
      <c r="P13" s="34" t="n">
        <v>0.951</v>
      </c>
      <c r="Q13" s="33" t="n">
        <v>1.216</v>
      </c>
      <c r="R13" s="33" t="n">
        <v>1.237</v>
      </c>
      <c r="S13" s="34" t="n">
        <v>0.865</v>
      </c>
      <c r="T13" s="33" t="n">
        <v>1.982</v>
      </c>
      <c r="U13" s="33" t="n">
        <v>1.886</v>
      </c>
      <c r="V13" s="33" t="n">
        <v>1.105</v>
      </c>
      <c r="W13" s="33" t="n">
        <v>1.21</v>
      </c>
      <c r="X13" s="34" t="n">
        <v>0.936</v>
      </c>
      <c r="Z13" s="28" t="n">
        <v>1.1</v>
      </c>
      <c r="AA13" s="29" t="n">
        <v>1.213</v>
      </c>
    </row>
    <row r="14" customFormat="false" ht="16.5" hidden="false" customHeight="true" outlineLevel="0" collapsed="false">
      <c r="A14" s="30" t="n">
        <v>9</v>
      </c>
      <c r="B14" s="31" t="n">
        <v>2801.9</v>
      </c>
      <c r="C14" s="31" t="n">
        <v>1493.9</v>
      </c>
      <c r="D14" s="31" t="n">
        <v>2063.4</v>
      </c>
      <c r="E14" s="31" t="n">
        <v>1877.8</v>
      </c>
      <c r="F14" s="31" t="n">
        <v>1450.9</v>
      </c>
      <c r="G14" s="31" t="n">
        <v>2842</v>
      </c>
      <c r="H14" s="31" t="n">
        <v>2767.8</v>
      </c>
      <c r="I14" s="31" t="n">
        <v>1899.8</v>
      </c>
      <c r="J14" s="31" t="n">
        <v>2043.6</v>
      </c>
      <c r="K14" s="31" t="n">
        <v>1431.5</v>
      </c>
      <c r="M14" s="32" t="n">
        <v>1551.3</v>
      </c>
      <c r="O14" s="33" t="n">
        <v>1.806</v>
      </c>
      <c r="P14" s="34" t="n">
        <v>0.963</v>
      </c>
      <c r="Q14" s="33" t="n">
        <v>1.33</v>
      </c>
      <c r="R14" s="33" t="n">
        <v>1.21</v>
      </c>
      <c r="S14" s="34" t="n">
        <v>0.935</v>
      </c>
      <c r="T14" s="33" t="n">
        <v>1.832</v>
      </c>
      <c r="U14" s="33" t="n">
        <v>1.784</v>
      </c>
      <c r="V14" s="33" t="n">
        <v>1.225</v>
      </c>
      <c r="W14" s="33" t="n">
        <v>1.317</v>
      </c>
      <c r="X14" s="34" t="n">
        <v>0.923</v>
      </c>
      <c r="Z14" s="28" t="n">
        <v>1.1</v>
      </c>
      <c r="AA14" s="29" t="n">
        <v>1.271</v>
      </c>
    </row>
    <row r="15" customFormat="false" ht="16.5" hidden="false" customHeight="true" outlineLevel="0" collapsed="false">
      <c r="A15" s="30" t="n">
        <v>10</v>
      </c>
      <c r="B15" s="31" t="n">
        <v>2441.6</v>
      </c>
      <c r="C15" s="31" t="n">
        <v>1694.3</v>
      </c>
      <c r="D15" s="31" t="n">
        <v>2010.1</v>
      </c>
      <c r="E15" s="31" t="n">
        <v>1883.2</v>
      </c>
      <c r="F15" s="31" t="n">
        <v>1633.9</v>
      </c>
      <c r="G15" s="31" t="n">
        <v>3114</v>
      </c>
      <c r="H15" s="31" t="n">
        <v>3036.9</v>
      </c>
      <c r="I15" s="31" t="n">
        <v>1980.4</v>
      </c>
      <c r="J15" s="31" t="n">
        <v>2113.4</v>
      </c>
      <c r="K15" s="31" t="n">
        <v>1406.8</v>
      </c>
      <c r="M15" s="32" t="n">
        <v>1628.9</v>
      </c>
      <c r="O15" s="33" t="n">
        <v>1.499</v>
      </c>
      <c r="P15" s="34" t="n">
        <v>1.04</v>
      </c>
      <c r="Q15" s="33" t="n">
        <v>1.234</v>
      </c>
      <c r="R15" s="33" t="n">
        <v>1.156</v>
      </c>
      <c r="S15" s="34" t="n">
        <v>1.003</v>
      </c>
      <c r="T15" s="33" t="n">
        <v>1.912</v>
      </c>
      <c r="U15" s="33" t="n">
        <v>1.864</v>
      </c>
      <c r="V15" s="33" t="n">
        <v>1.216</v>
      </c>
      <c r="W15" s="33" t="n">
        <v>1.297</v>
      </c>
      <c r="X15" s="34" t="n">
        <v>0.864</v>
      </c>
      <c r="Z15" s="28" t="n">
        <v>1.1</v>
      </c>
      <c r="AA15" s="29" t="n">
        <v>1.225</v>
      </c>
    </row>
    <row r="16" customFormat="false" ht="16.5" hidden="false" customHeight="true" outlineLevel="0" collapsed="false">
      <c r="A16" s="30" t="n">
        <v>11</v>
      </c>
      <c r="B16" s="31" t="n">
        <v>2537.3</v>
      </c>
      <c r="C16" s="31" t="n">
        <v>1704.3</v>
      </c>
      <c r="D16" s="31" t="n">
        <v>2069.7</v>
      </c>
      <c r="E16" s="31" t="n">
        <v>1908.2</v>
      </c>
      <c r="F16" s="31" t="n">
        <v>1836.3</v>
      </c>
      <c r="G16" s="31" t="n">
        <v>3523.1</v>
      </c>
      <c r="H16" s="31" t="n">
        <v>3232.6</v>
      </c>
      <c r="I16" s="31" t="n">
        <v>1630.2</v>
      </c>
      <c r="J16" s="31" t="n">
        <v>2192.1</v>
      </c>
      <c r="K16" s="31" t="n">
        <v>1371.8</v>
      </c>
      <c r="M16" s="32" t="n">
        <v>1710.3</v>
      </c>
      <c r="O16" s="33" t="n">
        <v>1.483</v>
      </c>
      <c r="P16" s="34" t="n">
        <v>0.996</v>
      </c>
      <c r="Q16" s="33" t="n">
        <v>1.21</v>
      </c>
      <c r="R16" s="33" t="n">
        <v>1.116</v>
      </c>
      <c r="S16" s="34" t="n">
        <v>1.074</v>
      </c>
      <c r="T16" s="33" t="n">
        <v>2.06</v>
      </c>
      <c r="U16" s="33" t="n">
        <v>1.89</v>
      </c>
      <c r="V16" s="34" t="n">
        <v>0.953</v>
      </c>
      <c r="W16" s="33" t="n">
        <v>1.282</v>
      </c>
      <c r="X16" s="34" t="n">
        <v>0.802</v>
      </c>
      <c r="Z16" s="28" t="n">
        <v>1.1</v>
      </c>
      <c r="AA16" s="29" t="n">
        <v>1.163</v>
      </c>
    </row>
    <row r="17" customFormat="false" ht="16.5" hidden="false" customHeight="true" outlineLevel="0" collapsed="false">
      <c r="A17" s="30" t="n">
        <v>12</v>
      </c>
      <c r="B17" s="31" t="n">
        <v>2822.8</v>
      </c>
      <c r="C17" s="31" t="n">
        <v>1802.5</v>
      </c>
      <c r="D17" s="31" t="n">
        <v>2159.4</v>
      </c>
      <c r="E17" s="31" t="n">
        <v>1914.1</v>
      </c>
      <c r="F17" s="31" t="n">
        <v>1970.2</v>
      </c>
      <c r="G17" s="31" t="n">
        <v>3854.9</v>
      </c>
      <c r="H17" s="31" t="n">
        <v>3220.7</v>
      </c>
      <c r="I17" s="31" t="n">
        <v>1823.8</v>
      </c>
      <c r="J17" s="31" t="n">
        <v>2165.3</v>
      </c>
      <c r="K17" s="31" t="n">
        <v>1449.9</v>
      </c>
      <c r="M17" s="32" t="n">
        <v>1795.9</v>
      </c>
      <c r="O17" s="33" t="n">
        <v>1.572</v>
      </c>
      <c r="P17" s="34" t="n">
        <v>1.004</v>
      </c>
      <c r="Q17" s="33" t="n">
        <v>1.202</v>
      </c>
      <c r="R17" s="34" t="n">
        <v>1.066</v>
      </c>
      <c r="S17" s="34" t="n">
        <v>1.097</v>
      </c>
      <c r="T17" s="33" t="n">
        <v>2.147</v>
      </c>
      <c r="U17" s="33" t="n">
        <v>1.793</v>
      </c>
      <c r="V17" s="34" t="n">
        <v>1.016</v>
      </c>
      <c r="W17" s="33" t="n">
        <v>1.206</v>
      </c>
      <c r="X17" s="34" t="n">
        <v>0.807</v>
      </c>
      <c r="Z17" s="28" t="n">
        <v>1.1</v>
      </c>
      <c r="AA17" s="29" t="n">
        <v>1.15</v>
      </c>
    </row>
    <row r="18" customFormat="false" ht="16.5" hidden="false" customHeight="true" outlineLevel="0" collapsed="false">
      <c r="A18" s="30" t="n">
        <v>13</v>
      </c>
      <c r="B18" s="31" t="n">
        <v>2978.5</v>
      </c>
      <c r="C18" s="31" t="n">
        <v>2265</v>
      </c>
      <c r="D18" s="31" t="n">
        <v>2344.1</v>
      </c>
      <c r="E18" s="31" t="n">
        <v>1705.7</v>
      </c>
      <c r="F18" s="31" t="n">
        <v>2026.5</v>
      </c>
      <c r="G18" s="31" t="n">
        <v>4022.8</v>
      </c>
      <c r="H18" s="31" t="n">
        <v>3904.6</v>
      </c>
      <c r="I18" s="31" t="n">
        <v>1783.2</v>
      </c>
      <c r="J18" s="31" t="n">
        <v>2234.2</v>
      </c>
      <c r="K18" s="31" t="n">
        <v>1426.4</v>
      </c>
      <c r="M18" s="32" t="n">
        <v>1885.6</v>
      </c>
      <c r="O18" s="33" t="n">
        <v>1.58</v>
      </c>
      <c r="P18" s="33" t="n">
        <v>1.201</v>
      </c>
      <c r="Q18" s="33" t="n">
        <v>1.243</v>
      </c>
      <c r="R18" s="34" t="n">
        <v>0.905</v>
      </c>
      <c r="S18" s="34" t="n">
        <v>1.075</v>
      </c>
      <c r="T18" s="33" t="n">
        <v>2.133</v>
      </c>
      <c r="U18" s="33" t="n">
        <v>2.071</v>
      </c>
      <c r="V18" s="34" t="n">
        <v>0.946</v>
      </c>
      <c r="W18" s="33" t="n">
        <v>1.185</v>
      </c>
      <c r="X18" s="34" t="n">
        <v>0.756</v>
      </c>
      <c r="Z18" s="28" t="n">
        <v>1.1</v>
      </c>
      <c r="AA18" s="29" t="n">
        <v>1.193</v>
      </c>
    </row>
    <row r="19" customFormat="false" ht="16.5" hidden="false" customHeight="true" outlineLevel="0" collapsed="false">
      <c r="A19" s="30" t="n">
        <v>14</v>
      </c>
      <c r="B19" s="31" t="n">
        <v>3253.4</v>
      </c>
      <c r="C19" s="31" t="n">
        <v>2461.4</v>
      </c>
      <c r="D19" s="31" t="n">
        <v>2617.7</v>
      </c>
      <c r="E19" s="31" t="n">
        <v>1890.6</v>
      </c>
      <c r="F19" s="31" t="n">
        <v>2073.4</v>
      </c>
      <c r="G19" s="31" t="n">
        <v>4290.2</v>
      </c>
      <c r="H19" s="31" t="n">
        <v>4398.2</v>
      </c>
      <c r="I19" s="31" t="n">
        <v>1679.9</v>
      </c>
      <c r="J19" s="31" t="n">
        <v>2521.6</v>
      </c>
      <c r="K19" s="31" t="n">
        <v>1299.1</v>
      </c>
      <c r="M19" s="32" t="n">
        <v>1979.9</v>
      </c>
      <c r="O19" s="33" t="n">
        <v>1.643</v>
      </c>
      <c r="P19" s="33" t="n">
        <v>1.243</v>
      </c>
      <c r="Q19" s="33" t="n">
        <v>1.322</v>
      </c>
      <c r="R19" s="34" t="n">
        <v>0.955</v>
      </c>
      <c r="S19" s="34" t="n">
        <v>1.047</v>
      </c>
      <c r="T19" s="33" t="n">
        <v>2.167</v>
      </c>
      <c r="U19" s="33" t="n">
        <v>2.221</v>
      </c>
      <c r="V19" s="34" t="n">
        <v>0.848</v>
      </c>
      <c r="W19" s="33" t="n">
        <v>1.274</v>
      </c>
      <c r="X19" s="34" t="n">
        <v>0.656</v>
      </c>
      <c r="Z19" s="28" t="n">
        <v>1.1</v>
      </c>
      <c r="AA19" s="29" t="n">
        <v>1.258</v>
      </c>
    </row>
    <row r="20" customFormat="false" ht="16.5" hidden="false" customHeight="true" outlineLevel="0" collapsed="false">
      <c r="A20" s="30" t="n">
        <v>15</v>
      </c>
      <c r="B20" s="31" t="n">
        <v>3501.3</v>
      </c>
      <c r="C20" s="31" t="n">
        <v>2694.3</v>
      </c>
      <c r="D20" s="31" t="n">
        <v>2734.1</v>
      </c>
      <c r="E20" s="31" t="n">
        <v>2118.4</v>
      </c>
      <c r="F20" s="31" t="n">
        <v>2260.4</v>
      </c>
      <c r="G20" s="31" t="n">
        <v>4660.6</v>
      </c>
      <c r="H20" s="31" t="n">
        <v>4518.3</v>
      </c>
      <c r="I20" s="31" t="n">
        <v>1877.2</v>
      </c>
      <c r="J20" s="31" t="n">
        <v>2642.5</v>
      </c>
      <c r="K20" s="31" t="n">
        <v>1344.4</v>
      </c>
      <c r="M20" s="32" t="n">
        <v>2078.9</v>
      </c>
      <c r="O20" s="33" t="n">
        <v>1.684</v>
      </c>
      <c r="P20" s="33" t="n">
        <v>1.296</v>
      </c>
      <c r="Q20" s="33" t="n">
        <v>1.315</v>
      </c>
      <c r="R20" s="34" t="n">
        <v>1.019</v>
      </c>
      <c r="S20" s="34" t="n">
        <v>1.087</v>
      </c>
      <c r="T20" s="33" t="n">
        <v>2.242</v>
      </c>
      <c r="U20" s="33" t="n">
        <v>2.173</v>
      </c>
      <c r="V20" s="34" t="n">
        <v>0.903</v>
      </c>
      <c r="W20" s="33" t="n">
        <v>1.271</v>
      </c>
      <c r="X20" s="34" t="n">
        <v>0.647</v>
      </c>
      <c r="Z20" s="28" t="n">
        <v>1.1</v>
      </c>
      <c r="AA20" s="29" t="n">
        <v>1.284</v>
      </c>
    </row>
    <row r="21" customFormat="false" ht="16.5" hidden="false" customHeight="true" outlineLevel="0" collapsed="false">
      <c r="A21" s="30" t="n">
        <v>16</v>
      </c>
      <c r="B21" s="31" t="n">
        <v>3287.5</v>
      </c>
      <c r="C21" s="31" t="n">
        <v>2937.7</v>
      </c>
      <c r="D21" s="31" t="n">
        <v>2616.1</v>
      </c>
      <c r="E21" s="31" t="n">
        <v>2471.3</v>
      </c>
      <c r="F21" s="31" t="n">
        <v>2565.2</v>
      </c>
      <c r="G21" s="31" t="n">
        <v>4521.5</v>
      </c>
      <c r="H21" s="31" t="n">
        <v>4195.4</v>
      </c>
      <c r="I21" s="31" t="n">
        <v>1705</v>
      </c>
      <c r="J21" s="31" t="n">
        <v>2702.5</v>
      </c>
      <c r="K21" s="31" t="n">
        <v>1312.3</v>
      </c>
      <c r="M21" s="32" t="n">
        <v>2182.9</v>
      </c>
      <c r="O21" s="33" t="n">
        <v>1.506</v>
      </c>
      <c r="P21" s="33" t="n">
        <v>1.346</v>
      </c>
      <c r="Q21" s="33" t="n">
        <v>1.198</v>
      </c>
      <c r="R21" s="33" t="n">
        <v>1.132</v>
      </c>
      <c r="S21" s="33" t="n">
        <v>1.175</v>
      </c>
      <c r="T21" s="33" t="n">
        <v>2.071</v>
      </c>
      <c r="U21" s="33" t="n">
        <v>1.922</v>
      </c>
      <c r="V21" s="34" t="n">
        <v>0.781</v>
      </c>
      <c r="W21" s="33" t="n">
        <v>1.238</v>
      </c>
      <c r="X21" s="34" t="n">
        <v>0.601</v>
      </c>
      <c r="Z21" s="28" t="n">
        <v>1.1</v>
      </c>
      <c r="AA21" s="29" t="n">
        <v>1.218</v>
      </c>
    </row>
    <row r="22" customFormat="false" ht="16.5" hidden="false" customHeight="true" outlineLevel="0" collapsed="false">
      <c r="A22" s="30" t="n">
        <v>17</v>
      </c>
      <c r="B22" s="31" t="n">
        <v>3715.7</v>
      </c>
      <c r="C22" s="31" t="n">
        <v>2699.5</v>
      </c>
      <c r="D22" s="31" t="n">
        <v>2987.1</v>
      </c>
      <c r="E22" s="31" t="n">
        <v>2753.7</v>
      </c>
      <c r="F22" s="31" t="n">
        <v>3058.9</v>
      </c>
      <c r="G22" s="31" t="n">
        <v>5027.8</v>
      </c>
      <c r="H22" s="31" t="n">
        <v>4131.9</v>
      </c>
      <c r="I22" s="31" t="n">
        <v>1901</v>
      </c>
      <c r="J22" s="31" t="n">
        <v>2885.4</v>
      </c>
      <c r="K22" s="31" t="n">
        <v>1440.5</v>
      </c>
      <c r="M22" s="32" t="n">
        <v>2292</v>
      </c>
      <c r="O22" s="33" t="n">
        <v>1.621</v>
      </c>
      <c r="P22" s="33" t="n">
        <v>1.178</v>
      </c>
      <c r="Q22" s="33" t="n">
        <v>1.303</v>
      </c>
      <c r="R22" s="33" t="n">
        <v>1.201</v>
      </c>
      <c r="S22" s="33" t="n">
        <v>1.335</v>
      </c>
      <c r="T22" s="33" t="n">
        <v>2.194</v>
      </c>
      <c r="U22" s="33" t="n">
        <v>1.803</v>
      </c>
      <c r="V22" s="34" t="n">
        <v>0.829</v>
      </c>
      <c r="W22" s="33" t="n">
        <v>1.259</v>
      </c>
      <c r="X22" s="34" t="n">
        <v>0.628</v>
      </c>
      <c r="Z22" s="28" t="n">
        <v>1.1</v>
      </c>
      <c r="AA22" s="29" t="n">
        <v>1.281</v>
      </c>
    </row>
    <row r="23" customFormat="false" ht="16.5" hidden="false" customHeight="true" outlineLevel="0" collapsed="false">
      <c r="A23" s="30" t="n">
        <v>18</v>
      </c>
      <c r="B23" s="31" t="n">
        <v>3735.8</v>
      </c>
      <c r="C23" s="31" t="n">
        <v>2788.1</v>
      </c>
      <c r="D23" s="31" t="n">
        <v>3959.5</v>
      </c>
      <c r="E23" s="31" t="n">
        <v>3056.4</v>
      </c>
      <c r="F23" s="31" t="n">
        <v>3245.8</v>
      </c>
      <c r="G23" s="31" t="n">
        <v>5535.4</v>
      </c>
      <c r="H23" s="31" t="n">
        <v>4525</v>
      </c>
      <c r="I23" s="31" t="n">
        <v>2152.4</v>
      </c>
      <c r="J23" s="31" t="n">
        <v>2854.6</v>
      </c>
      <c r="K23" s="31" t="n">
        <v>1682.6</v>
      </c>
      <c r="M23" s="32" t="n">
        <v>2406.6</v>
      </c>
      <c r="O23" s="33" t="n">
        <v>1.552</v>
      </c>
      <c r="P23" s="33" t="n">
        <v>1.159</v>
      </c>
      <c r="Q23" s="33" t="n">
        <v>1.645</v>
      </c>
      <c r="R23" s="33" t="n">
        <v>1.27</v>
      </c>
      <c r="S23" s="33" t="n">
        <v>1.349</v>
      </c>
      <c r="T23" s="33" t="n">
        <v>2.3</v>
      </c>
      <c r="U23" s="33" t="n">
        <v>1.88</v>
      </c>
      <c r="V23" s="34" t="n">
        <v>0.894</v>
      </c>
      <c r="W23" s="33" t="n">
        <v>1.186</v>
      </c>
      <c r="X23" s="34" t="n">
        <v>0.699</v>
      </c>
      <c r="Z23" s="28" t="n">
        <v>1.1</v>
      </c>
      <c r="AA23" s="29" t="n">
        <v>1.309</v>
      </c>
    </row>
    <row r="24" customFormat="false" ht="16.5" hidden="false" customHeight="true" outlineLevel="0" collapsed="false">
      <c r="A24" s="30" t="n">
        <v>19</v>
      </c>
      <c r="B24" s="31" t="n">
        <v>3779.7</v>
      </c>
      <c r="C24" s="31" t="n">
        <v>2474.4</v>
      </c>
      <c r="D24" s="31" t="n">
        <v>4452.9</v>
      </c>
      <c r="E24" s="31" t="n">
        <v>2814.4</v>
      </c>
      <c r="F24" s="31" t="n">
        <v>3499.9</v>
      </c>
      <c r="G24" s="31" t="n">
        <v>5768.6</v>
      </c>
      <c r="H24" s="31" t="n">
        <v>4668.3</v>
      </c>
      <c r="I24" s="31" t="n">
        <v>2359.8</v>
      </c>
      <c r="J24" s="31" t="n">
        <v>2529.8</v>
      </c>
      <c r="K24" s="31" t="n">
        <v>1883.1</v>
      </c>
      <c r="M24" s="32" t="n">
        <v>2527</v>
      </c>
      <c r="O24" s="33" t="n">
        <v>1.496</v>
      </c>
      <c r="P24" s="34" t="n">
        <v>0.979</v>
      </c>
      <c r="Q24" s="33" t="n">
        <v>1.762</v>
      </c>
      <c r="R24" s="33" t="n">
        <v>1.114</v>
      </c>
      <c r="S24" s="33" t="n">
        <v>1.385</v>
      </c>
      <c r="T24" s="33" t="n">
        <v>2.283</v>
      </c>
      <c r="U24" s="33" t="n">
        <v>1.847</v>
      </c>
      <c r="V24" s="34" t="n">
        <v>0.934</v>
      </c>
      <c r="W24" s="34" t="n">
        <v>1.001</v>
      </c>
      <c r="X24" s="34" t="n">
        <v>0.745</v>
      </c>
      <c r="Z24" s="28" t="n">
        <v>1.1</v>
      </c>
      <c r="AA24" s="29" t="n">
        <v>1.249</v>
      </c>
    </row>
    <row r="25" customFormat="false" ht="16.5" hidden="false" customHeight="true" outlineLevel="0" collapsed="false">
      <c r="A25" s="24" t="n">
        <v>20</v>
      </c>
      <c r="B25" s="25" t="n">
        <v>4173.3</v>
      </c>
      <c r="C25" s="25" t="n">
        <v>2791.8</v>
      </c>
      <c r="D25" s="25" t="n">
        <v>4904.7</v>
      </c>
      <c r="E25" s="25" t="n">
        <v>3007.8</v>
      </c>
      <c r="F25" s="25" t="n">
        <v>4151.1</v>
      </c>
      <c r="G25" s="25" t="n">
        <v>6408.7</v>
      </c>
      <c r="H25" s="25" t="n">
        <v>4424.7</v>
      </c>
      <c r="I25" s="25" t="n">
        <v>2527.3</v>
      </c>
      <c r="J25" s="25" t="n">
        <v>2562.6</v>
      </c>
      <c r="K25" s="25" t="n">
        <v>2053.7</v>
      </c>
      <c r="M25" s="26" t="n">
        <v>2653.3</v>
      </c>
      <c r="O25" s="35" t="n">
        <v>1.573</v>
      </c>
      <c r="P25" s="36" t="n">
        <v>1.052</v>
      </c>
      <c r="Q25" s="35" t="n">
        <v>1.849</v>
      </c>
      <c r="R25" s="35" t="n">
        <v>1.134</v>
      </c>
      <c r="S25" s="35" t="n">
        <v>1.565</v>
      </c>
      <c r="T25" s="35" t="n">
        <v>2.415</v>
      </c>
      <c r="U25" s="35" t="n">
        <v>1.668</v>
      </c>
      <c r="V25" s="36" t="n">
        <v>0.953</v>
      </c>
      <c r="W25" s="36" t="n">
        <v>0.966</v>
      </c>
      <c r="X25" s="36" t="n">
        <v>0.774</v>
      </c>
      <c r="Z25" s="28" t="n">
        <v>1.1</v>
      </c>
      <c r="AA25" s="29" t="n">
        <v>1.349</v>
      </c>
    </row>
    <row r="27" customFormat="false" ht="21.75" hidden="false" customHeight="true" outlineLevel="0" collapsed="false">
      <c r="A27" s="4" t="s">
        <v>55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0" t="s">
        <v>56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customFormat="false" ht="21.75" hidden="false" customHeight="true" outlineLevel="0" collapsed="false">
      <c r="A28" s="37" t="s">
        <v>57</v>
      </c>
      <c r="C28" s="38" t="n">
        <v>2653.3</v>
      </c>
      <c r="G28" s="37" t="s">
        <v>58</v>
      </c>
      <c r="J28" s="39" t="n">
        <v>6</v>
      </c>
      <c r="O28" s="40" t="n">
        <v>1.573</v>
      </c>
      <c r="P28" s="41" t="n">
        <v>1.052</v>
      </c>
      <c r="Q28" s="40" t="n">
        <v>1.849</v>
      </c>
      <c r="R28" s="40" t="n">
        <v>1.134</v>
      </c>
      <c r="S28" s="40" t="n">
        <v>1.565</v>
      </c>
      <c r="T28" s="40" t="n">
        <v>2.415</v>
      </c>
      <c r="U28" s="40" t="n">
        <v>1.668</v>
      </c>
      <c r="V28" s="41" t="n">
        <v>0.953</v>
      </c>
      <c r="W28" s="41" t="n">
        <v>0.966</v>
      </c>
      <c r="X28" s="41" t="n">
        <v>0.774</v>
      </c>
      <c r="AA28" s="42" t="n">
        <v>1.349</v>
      </c>
    </row>
  </sheetData>
  <mergeCells count="7">
    <mergeCell ref="A1:AH1"/>
    <mergeCell ref="B2:K2"/>
    <mergeCell ref="O2:X2"/>
    <mergeCell ref="B4:K4"/>
    <mergeCell ref="O4:X4"/>
    <mergeCell ref="A27:N27"/>
    <mergeCell ref="O27:AA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2026-04-23T05:39:26Z</dcterms:created>
  <dc:creator>openpyxl</dc:creator>
  <dc:description/>
  <dc:language>en-US</dc:language>
  <cp:lastModifiedBy/>
  <dcterms:modified xsi:type="dcterms:W3CDTF">2026-04-23T05:40:01Z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