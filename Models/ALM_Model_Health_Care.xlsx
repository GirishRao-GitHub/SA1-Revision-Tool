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Liabilities" sheetId="3" state="visible" r:id="rId5"/>
    <sheet name="Assets" sheetId="4" state="visible" r:id="rId6"/>
    <sheet name="ALM_Analysis" sheetId="5" state="visible" r:id="rId7"/>
    <sheet name="Stress_Tests" sheetId="6" state="visible" r:id="rId8"/>
    <sheet name="Dashboar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<sst xmlns="http://schemas.openxmlformats.org/spreadsheetml/2006/main" count="716" uniqueCount="529">
  <si>
    <t xml:space="preserve">Asset Liability Management (ALM) Model</t>
  </si>
  <si>
    <t xml:space="preserve">Health &amp; Care Insurance Company</t>
  </si>
  <si>
    <t xml:space="preserve">Educational Prototype – Actuarial &amp; Finance Department</t>
  </si>
  <si>
    <t xml:space="preserve">Valuation Date: 31 December 2024</t>
  </si>
  <si>
    <t xml:space="preserve">MODEL NAVIGATION</t>
  </si>
  <si>
    <t xml:space="preserve">1</t>
  </si>
  <si>
    <t xml:space="preserve">Assumptions</t>
  </si>
  <si>
    <t xml:space="preserve">Key economic &amp; demographic assumptions</t>
  </si>
  <si>
    <t xml:space="preserve">2</t>
  </si>
  <si>
    <t xml:space="preserve">Liabilities</t>
  </si>
  <si>
    <t xml:space="preserve">Insurance liability cash flow projections</t>
  </si>
  <si>
    <t xml:space="preserve">3</t>
  </si>
  <si>
    <t xml:space="preserve">Assets</t>
  </si>
  <si>
    <t xml:space="preserve">Investment portfolio &amp; cash flow projections</t>
  </si>
  <si>
    <t xml:space="preserve">4</t>
  </si>
  <si>
    <t xml:space="preserve">ALM_Analysis</t>
  </si>
  <si>
    <t xml:space="preserve">Duration, convexity &amp; sensitivity analysis</t>
  </si>
  <si>
    <t xml:space="preserve">5</t>
  </si>
  <si>
    <t xml:space="preserve">Stress_Tests</t>
  </si>
  <si>
    <t xml:space="preserve">Solvency II stress scenarios</t>
  </si>
  <si>
    <t xml:space="preserve">6</t>
  </si>
  <si>
    <t xml:space="preserve">Dashboard</t>
  </si>
  <si>
    <t xml:space="preserve">Executive ALM dashboard &amp; KPIs</t>
  </si>
  <si>
    <t xml:space="preserve">COLOUR CODING LEGEND</t>
  </si>
  <si>
    <t xml:space="preserve">Blue text, light blue fill</t>
  </si>
  <si>
    <t xml:space="preserve">Hardcoded input assumptions (user changeable)</t>
  </si>
  <si>
    <t xml:space="preserve">Black text, white fill</t>
  </si>
  <si>
    <t xml:space="preserve">Calculated formula cells (do not overwrite)</t>
  </si>
  <si>
    <t xml:space="preserve">Green text, white fill</t>
  </si>
  <si>
    <t xml:space="preserve">Links pulling data from another worksheet</t>
  </si>
  <si>
    <t xml:space="preserve">Black text, yellow fill</t>
  </si>
  <si>
    <t xml:space="preserve">Key assumption / cell requiring attention</t>
  </si>
  <si>
    <t xml:space="preserve">ALM MODEL – KEY ASSUMPTIONS</t>
  </si>
  <si>
    <t xml:space="preserve">A. ECONOMIC &amp; MARKET ASSUMPTIONS</t>
  </si>
  <si>
    <t xml:space="preserve">Parameter</t>
  </si>
  <si>
    <t xml:space="preserve">Symbol</t>
  </si>
  <si>
    <t xml:space="preserve">Base Case</t>
  </si>
  <si>
    <t xml:space="preserve">Stress Down</t>
  </si>
  <si>
    <t xml:space="preserve">Stress Up</t>
  </si>
  <si>
    <t xml:space="preserve">Units</t>
  </si>
  <si>
    <t xml:space="preserve">Source / Notes</t>
  </si>
  <si>
    <t xml:space="preserve">Risk-Free Rate (10yr gilt)</t>
  </si>
  <si>
    <t xml:space="preserve">r_f</t>
  </si>
  <si>
    <t xml:space="preserve">% p.a.</t>
  </si>
  <si>
    <t xml:space="preserve">Bank of England curve</t>
  </si>
  <si>
    <t xml:space="preserve">Credit Spread (avg portfolio)</t>
  </si>
  <si>
    <t xml:space="preserve">cs</t>
  </si>
  <si>
    <t xml:space="preserve">Merrill Lynch index</t>
  </si>
  <si>
    <t xml:space="preserve">Matching Adjustment</t>
  </si>
  <si>
    <t xml:space="preserve">MA</t>
  </si>
  <si>
    <t xml:space="preserve">PRA approved</t>
  </si>
  <si>
    <t xml:space="preserve">Volatility Adjustment</t>
  </si>
  <si>
    <t xml:space="preserve">VA</t>
  </si>
  <si>
    <t xml:space="preserve">EIOPA published</t>
  </si>
  <si>
    <t xml:space="preserve">Discount Rate (BEL)</t>
  </si>
  <si>
    <t xml:space="preserve">r_d</t>
  </si>
  <si>
    <t xml:space="preserve">r_f + MA + VA</t>
  </si>
  <si>
    <t xml:space="preserve">Inflation (RPI)</t>
  </si>
  <si>
    <t xml:space="preserve">π</t>
  </si>
  <si>
    <t xml:space="preserve">OBR forecast</t>
  </si>
  <si>
    <t xml:space="preserve">Inflation (CPI)</t>
  </si>
  <si>
    <t xml:space="preserve">π_CPI</t>
  </si>
  <si>
    <t xml:space="preserve">Healthcare Cost Inflation</t>
  </si>
  <si>
    <t xml:space="preserve">π_HC</t>
  </si>
  <si>
    <t xml:space="preserve">NHS reference costs</t>
  </si>
  <si>
    <t xml:space="preserve">Equity Return</t>
  </si>
  <si>
    <t xml:space="preserve">r_eq</t>
  </si>
  <si>
    <t xml:space="preserve">Long-run assumption</t>
  </si>
  <si>
    <t xml:space="preserve">Property Return</t>
  </si>
  <si>
    <t xml:space="preserve">r_prop</t>
  </si>
  <si>
    <t xml:space="preserve">MSCI UK Property</t>
  </si>
  <si>
    <t xml:space="preserve">B. DEMOGRAPHIC &amp; ACTUARIAL ASSUMPTIONS</t>
  </si>
  <si>
    <t xml:space="preserve">Stress</t>
  </si>
  <si>
    <t xml:space="preserve">Notes</t>
  </si>
  <si>
    <t xml:space="preserve">Mortality Improvement (p.a.)</t>
  </si>
  <si>
    <t xml:space="preserve">MI</t>
  </si>
  <si>
    <t xml:space="preserve">1.50%</t>
  </si>
  <si>
    <t xml:space="preserve">0.50%</t>
  </si>
  <si>
    <t xml:space="preserve">CMI 2023 model</t>
  </si>
  <si>
    <t xml:space="preserve">Longevity Stress</t>
  </si>
  <si>
    <t xml:space="preserve">LS</t>
  </si>
  <si>
    <t xml:space="preserve">N/A</t>
  </si>
  <si>
    <t xml:space="preserve">+10.0%</t>
  </si>
  <si>
    <t xml:space="preserve">% extra</t>
  </si>
  <si>
    <t xml:space="preserve">Solvency II SCR</t>
  </si>
  <si>
    <t xml:space="preserve">Morbidity Rate (base)</t>
  </si>
  <si>
    <t xml:space="preserve">q_m</t>
  </si>
  <si>
    <t xml:space="preserve">2.80%</t>
  </si>
  <si>
    <t xml:space="preserve">4.00%</t>
  </si>
  <si>
    <t xml:space="preserve">Internal experience</t>
  </si>
  <si>
    <t xml:space="preserve">Lapse / Surrender Rate</t>
  </si>
  <si>
    <t xml:space="preserve">lapse</t>
  </si>
  <si>
    <t xml:space="preserve">3.50%</t>
  </si>
  <si>
    <t xml:space="preserve">6.00%</t>
  </si>
  <si>
    <t xml:space="preserve">Product dependent</t>
  </si>
  <si>
    <t xml:space="preserve">New Business Growth</t>
  </si>
  <si>
    <t xml:space="preserve">g_NB</t>
  </si>
  <si>
    <t xml:space="preserve">5.00%</t>
  </si>
  <si>
    <t xml:space="preserve">(5.00%)</t>
  </si>
  <si>
    <t xml:space="preserve">Business plan</t>
  </si>
  <si>
    <t xml:space="preserve">Expense Inflation</t>
  </si>
  <si>
    <t xml:space="preserve">π_exp</t>
  </si>
  <si>
    <t xml:space="preserve">HR &amp; Finance</t>
  </si>
  <si>
    <t xml:space="preserve">Claims Frequency (Health)</t>
  </si>
  <si>
    <t xml:space="preserve">f_H</t>
  </si>
  <si>
    <t xml:space="preserve">12.50%</t>
  </si>
  <si>
    <t xml:space="preserve">18.00%</t>
  </si>
  <si>
    <t xml:space="preserve">% of EPs</t>
  </si>
  <si>
    <t xml:space="preserve">Internal stats</t>
  </si>
  <si>
    <t xml:space="preserve">Average Claim Size (£)</t>
  </si>
  <si>
    <t xml:space="preserve">S_H</t>
  </si>
  <si>
    <t xml:space="preserve">£2,400</t>
  </si>
  <si>
    <t xml:space="preserve">£3,200</t>
  </si>
  <si>
    <t xml:space="preserve">£</t>
  </si>
  <si>
    <t xml:space="preserve">2024 experience</t>
  </si>
  <si>
    <t xml:space="preserve">C. PORTFOLIO PARAMETERS</t>
  </si>
  <si>
    <t xml:space="preserve">Asset Class</t>
  </si>
  <si>
    <t xml:space="preserve">% Allocation</t>
  </si>
  <si>
    <t xml:space="preserve">Avg Yield</t>
  </si>
  <si>
    <t xml:space="preserve">Avg Duration (yrs)</t>
  </si>
  <si>
    <t xml:space="preserve">Rating (avg)</t>
  </si>
  <si>
    <t xml:space="preserve">Benchmark</t>
  </si>
  <si>
    <t xml:space="preserve">UK Government Bonds (Gilts)</t>
  </si>
  <si>
    <t xml:space="preserve">AAA</t>
  </si>
  <si>
    <t xml:space="preserve">FTSE Actuaries</t>
  </si>
  <si>
    <t xml:space="preserve">UK Corporate Bonds (IG)</t>
  </si>
  <si>
    <t xml:space="preserve">A</t>
  </si>
  <si>
    <t xml:space="preserve">iBoxx £ Corp</t>
  </si>
  <si>
    <t xml:space="preserve">Infrastructure Debt</t>
  </si>
  <si>
    <t xml:space="preserve">BBB+</t>
  </si>
  <si>
    <t xml:space="preserve">Bespoke</t>
  </si>
  <si>
    <t xml:space="preserve">Equity (UK &amp; Global)</t>
  </si>
  <si>
    <t xml:space="preserve">FTSE All-World</t>
  </si>
  <si>
    <t xml:space="preserve">Property</t>
  </si>
  <si>
    <t xml:space="preserve">MSCI UK</t>
  </si>
  <si>
    <t xml:space="preserve">Cash &amp; Short-term</t>
  </si>
  <si>
    <t xml:space="preserve">SONIA+</t>
  </si>
  <si>
    <t xml:space="preserve">TOTAL</t>
  </si>
  <si>
    <t xml:space="preserve">INSURANCE LIABILITIES – CASH FLOW PROJECTIONS</t>
  </si>
  <si>
    <t xml:space="preserve">Cash Flow Component</t>
  </si>
  <si>
    <t xml:space="preserve">Unit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</si>
  <si>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</si>
  <si>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</si>
  <si>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</si>
  <si>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</si>
  <si>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</si>
  <si>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</si>
  <si>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</si>
  <si>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</si>
  <si>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</si>
  <si>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</si>
  <si>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</si>
  <si>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</si>
  <si>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</si>
  <si>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</si>
  <si>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</si>
  <si>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</si>
  <si>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</si>
  <si>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</si>
  <si>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</si>
  <si>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</si>
  <si>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</si>
  <si>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A. GROSS PREMIUM INCOME (£'000)</t>
  </si>
  <si>
    <t xml:space="preserve">Individual Health (PMI)</t>
  </si>
  <si>
    <t xml:space="preserve">In-Force Policies</t>
  </si>
  <si>
    <t xml:space="preserve">Group Health Schemes</t>
  </si>
  <si>
    <t xml:space="preserve">Members (000s)</t>
  </si>
  <si>
    <t xml:space="preserve">Long-Term Care</t>
  </si>
  <si>
    <t xml:space="preserve">Policies</t>
  </si>
  <si>
    <t xml:space="preserve">Critical Illness</t>
  </si>
  <si>
    <t xml:space="preserve">Income Protection</t>
  </si>
  <si>
    <t xml:space="preserve">TOTAL GROSS PREMIUMS</t>
  </si>
  <si>
    <t xml:space="preserve">B. GROSS CLAIMS INCURRED (£'000)</t>
  </si>
  <si>
    <t xml:space="preserve">PMI Claims (freq × severity)</t>
  </si>
  <si>
    <t xml:space="preserve">£'000</t>
  </si>
  <si>
    <t xml:space="preserve">Group Health Claims</t>
  </si>
  <si>
    <t xml:space="preserve">Long-Term Care Benefits</t>
  </si>
  <si>
    <t xml:space="preserve">Critical Illness Payments</t>
  </si>
  <si>
    <t xml:space="preserve">Income Protection Payments</t>
  </si>
  <si>
    <t xml:space="preserve">IBNR Provision</t>
  </si>
  <si>
    <t xml:space="preserve">TOTAL GROSS CLAIMS</t>
  </si>
  <si>
    <t xml:space="preserve">C. EXPENSES &amp; REINSURANCE (£'000)</t>
  </si>
  <si>
    <t xml:space="preserve">Acquisition Costs</t>
  </si>
  <si>
    <t xml:space="preserve">8%</t>
  </si>
  <si>
    <t xml:space="preserve">Administration Expenses</t>
  </si>
  <si>
    <t xml:space="preserve">4%</t>
  </si>
  <si>
    <t xml:space="preserve">Commission</t>
  </si>
  <si>
    <t xml:space="preserve">6%</t>
  </si>
  <si>
    <t xml:space="preserve">Reinsurance Premium (ceded)</t>
  </si>
  <si>
    <t xml:space="preserve">12%</t>
  </si>
  <si>
    <t xml:space="preserve">D. NET LIABILITY CASH FLOWS (£'000)</t>
  </si>
  <si>
    <t xml:space="preserve">Net Claims + Expenses (Outgo)</t>
  </si>
  <si>
    <t xml:space="preserve">Undiscounted Liability CF</t>
  </si>
  <si>
    <t xml:space="preserve">Discount Factor (r_d)</t>
  </si>
  <si>
    <t xml:space="preserve">Present Value of Liability CFs</t>
  </si>
  <si>
    <t xml:space="preserve">Cumulative PV (BEL)</t>
  </si>
  <si>
    <t xml:space="preserve">INVESTMENT PORTFOLIO – ASSET CASH FLOW PROJECTIONS</t>
  </si>
  <si>
    <t xml:space="preserve">Asset / CF Component</t>
  </si>
  <si>
    <t xml:space="preserve">A. ASSET BOOK VALUES (£'000) – Opening Year</t>
  </si>
  <si>
    <t xml:space="preserve">TOTAL ASSET VALUE</t>
  </si>
  <si>
    <t xml:space="preserve">B. INVESTMENT INCOME (£'000)</t>
  </si>
  <si>
    <t xml:space="preserve">Income: UK Government Bonds (Gilts)</t>
  </si>
  <si>
    <t xml:space="preserve">Income: UK Corporate Bonds (IG)</t>
  </si>
  <si>
    <t xml:space="preserve">Income: Infrastructure Debt</t>
  </si>
  <si>
    <t xml:space="preserve">Income: Equity (UK &amp; Global)</t>
  </si>
  <si>
    <t xml:space="preserve">Income: Property</t>
  </si>
  <si>
    <t xml:space="preserve">Income: Cash &amp; Short-term</t>
  </si>
  <si>
    <t xml:space="preserve">TOTAL INVESTMENT INCOME</t>
  </si>
  <si>
    <t xml:space="preserve">C. ASSET CASH FLOWS vs LIABILITY CASH FLOWS</t>
  </si>
  <si>
    <t xml:space="preserve">Asset Cash Flows (Coupons)</t>
  </si>
  <si>
    <t xml:space="preserve">Liability Cash Flows (Net Outgo)</t>
  </si>
  <si>
    <t xml:space="preserve">Surplus / (Shortfall)</t>
  </si>
  <si>
    <t xml:space="preserve">Cumulative Cash Flow Surplus</t>
  </si>
  <si>
    <t xml:space="preserve">ALM ANALYSIS – DURATION, CONVEXITY &amp; SENSITIVITY</t>
  </si>
  <si>
    <t xml:space="preserve">A. DURATION &amp; CONVEXITY ANALYSIS</t>
  </si>
  <si>
    <t xml:space="preserve">Metric</t>
  </si>
  <si>
    <t xml:space="preserve">Duration Gap</t>
  </si>
  <si>
    <t xml:space="preserve">Interpretation</t>
  </si>
  <si>
    <t xml:space="preserve">Macaulay Duration (yrs)</t>
  </si>
  <si>
    <t xml:space="preserve">11.8</t>
  </si>
  <si>
    <t xml:space="preserve">14.6</t>
  </si>
  <si>
    <t xml:space="preserve">Assets shorter than liabilities</t>
  </si>
  <si>
    <t xml:space="preserve">Modified Duration</t>
  </si>
  <si>
    <t xml:space="preserve">11.4</t>
  </si>
  <si>
    <t xml:space="preserve">14.1</t>
  </si>
  <si>
    <t xml:space="preserve">Interest rate sensitivity measure</t>
  </si>
  <si>
    <t xml:space="preserve">Dollar Duration (£'000/bp)</t>
  </si>
  <si>
    <t xml:space="preserve">11,400</t>
  </si>
  <si>
    <t xml:space="preserve">14,060</t>
  </si>
  <si>
    <t xml:space="preserve">PV01: £ change per 1bp rate move</t>
  </si>
  <si>
    <t xml:space="preserve">Convexity</t>
  </si>
  <si>
    <t xml:space="preserve">92.5</t>
  </si>
  <si>
    <t xml:space="preserve">156.3</t>
  </si>
  <si>
    <t xml:space="preserve">2nd-order price sensitivity</t>
  </si>
  <si>
    <t xml:space="preserve">Weighted Avg Maturity (yrs)</t>
  </si>
  <si>
    <t xml:space="preserve">10.2</t>
  </si>
  <si>
    <t xml:space="preserve">18.5</t>
  </si>
  <si>
    <t xml:space="preserve">Maturity mismatch</t>
  </si>
  <si>
    <t xml:space="preserve">B. BEST ESTIMATE LIABILITY (BEL) &amp; SOLVENCY CAPITAL</t>
  </si>
  <si>
    <t xml:space="preserve">Component</t>
  </si>
  <si>
    <t xml:space="preserve">% of Technical Provisions</t>
  </si>
  <si>
    <t xml:space="preserve">Best Estimate Liability (BEL)</t>
  </si>
  <si>
    <t xml:space="preserve">52,400</t>
  </si>
  <si>
    <t xml:space="preserve">PV of future net cash outflows</t>
  </si>
  <si>
    <t xml:space="preserve">Risk Margin</t>
  </si>
  <si>
    <t xml:space="preserve">3,620</t>
  </si>
  <si>
    <t xml:space="preserve">Cost of capital approach, 6% CoC</t>
  </si>
  <si>
    <t xml:space="preserve">Technical Provisions (TP = BEL + RM)</t>
  </si>
  <si>
    <t xml:space="preserve">Solvency II reporting basis</t>
  </si>
  <si>
    <t xml:space="preserve">SCR – Longevity Risk</t>
  </si>
  <si>
    <t xml:space="preserve">4,180</t>
  </si>
  <si>
    <t xml:space="preserve">10% mortality improvement shock</t>
  </si>
  <si>
    <t xml:space="preserve">SCR – Interest Rate Risk</t>
  </si>
  <si>
    <t xml:space="preserve">6,250</t>
  </si>
  <si>
    <t xml:space="preserve">Duration gap × rate shock</t>
  </si>
  <si>
    <t xml:space="preserve">SCR – Equity Risk</t>
  </si>
  <si>
    <t xml:space="preserve">1,600</t>
  </si>
  <si>
    <t xml:space="preserve">39% equity stress (Type 1)</t>
  </si>
  <si>
    <t xml:space="preserve">SCR – Property Risk</t>
  </si>
  <si>
    <t xml:space="preserve">750</t>
  </si>
  <si>
    <t xml:space="preserve">25% property stress</t>
  </si>
  <si>
    <t xml:space="preserve">SCR – Spread Risk</t>
  </si>
  <si>
    <t xml:space="preserve">2,100</t>
  </si>
  <si>
    <t xml:space="preserve">Credit spread widening</t>
  </si>
  <si>
    <t xml:space="preserve">Diversification Benefit</t>
  </si>
  <si>
    <t xml:space="preserve">(3,580)</t>
  </si>
  <si>
    <t xml:space="preserve">Correlation matrix</t>
  </si>
  <si>
    <t xml:space="preserve">Total SCR (pre-diversification)</t>
  </si>
  <si>
    <t xml:space="preserve">Sum of individual SCRs</t>
  </si>
  <si>
    <t xml:space="preserve">Total SCR (post-diversification)</t>
  </si>
  <si>
    <t xml:space="preserve">After diversification</t>
  </si>
  <si>
    <t xml:space="preserve">Own Funds (Eligible)</t>
  </si>
  <si>
    <t xml:space="preserve">12,450</t>
  </si>
  <si>
    <t xml:space="preserve">Tier 1 + Tier 2 capital</t>
  </si>
  <si>
    <t xml:space="preserve">Solvency II Ratio</t>
  </si>
  <si>
    <t xml:space="preserve">Must be &gt; 100%</t>
  </si>
  <si>
    <t xml:space="preserve">C. INTEREST RATE SENSITIVITY (PV01 / DV01 ANALYSIS)</t>
  </si>
  <si>
    <t xml:space="preserve">Rate Shock (bps)</t>
  </si>
  <si>
    <t xml:space="preserve">Asset PV Change (£'000)</t>
  </si>
  <si>
    <t xml:space="preserve">Liability PV Change (£'000)</t>
  </si>
  <si>
    <t xml:space="preserve">Net Surplus Change (£'000)</t>
  </si>
  <si>
    <t xml:space="preserve">Surplus Change (% of TP)</t>
  </si>
  <si>
    <t xml:space="preserve">SOLVENCY II STRESS TESTS &amp; SCENARIO ANALYSIS</t>
  </si>
  <si>
    <t xml:space="preserve">A. STANDARD FORMULA SCR SCENARIOS</t>
  </si>
  <si>
    <t xml:space="preserve">Scenario / Stress</t>
  </si>
  <si>
    <t xml:space="preserve">Shock Applied</t>
  </si>
  <si>
    <t xml:space="preserve">Impact on BEL (£'000)</t>
  </si>
  <si>
    <t xml:space="preserve">Impact on Assets (£'000)</t>
  </si>
  <si>
    <t xml:space="preserve">Net SCR (£'000)</t>
  </si>
  <si>
    <t xml:space="preserve">SCR as % of TP</t>
  </si>
  <si>
    <t xml:space="preserve">Post-Stress SCR Ratio</t>
  </si>
  <si>
    <t xml:space="preserve">RAG</t>
  </si>
  <si>
    <t xml:space="preserve">Action Required</t>
  </si>
  <si>
    <t xml:space="preserve">1. Interest Rates ↑ 100bps</t>
  </si>
  <si>
    <t xml:space="preserve">+100bp parallel</t>
  </si>
  <si>
    <t xml:space="preserve">3,200</t>
  </si>
  <si>
    <t xml:space="preserve">(11,400)</t>
  </si>
  <si>
    <t xml:space="preserve">8,200</t>
  </si>
  <si>
    <t xml:space="preserve">14.6%</t>
  </si>
  <si>
    <t xml:space="preserve">144%</t>
  </si>
  <si>
    <t xml:space="preserve">GREEN</t>
  </si>
  <si>
    <t xml:space="preserve">Monitor duration gap</t>
  </si>
  <si>
    <t xml:space="preserve">2. Interest Rates ↓ 100bps</t>
  </si>
  <si>
    <t xml:space="preserve">-100bp parallel</t>
  </si>
  <si>
    <t xml:space="preserve">(4,800)</t>
  </si>
  <si>
    <t xml:space="preserve">6,600</t>
  </si>
  <si>
    <t xml:space="preserve">11.8%</t>
  </si>
  <si>
    <t xml:space="preserve">152%</t>
  </si>
  <si>
    <t xml:space="preserve">Review reinvestment risk</t>
  </si>
  <si>
    <t xml:space="preserve">3. Longevity Stress</t>
  </si>
  <si>
    <t xml:space="preserve">+10% survival prob</t>
  </si>
  <si>
    <t xml:space="preserve">5,240</t>
  </si>
  <si>
    <t xml:space="preserve">-</t>
  </si>
  <si>
    <t xml:space="preserve">9.4%</t>
  </si>
  <si>
    <t xml:space="preserve">133%</t>
  </si>
  <si>
    <t xml:space="preserve">AMBER</t>
  </si>
  <si>
    <t xml:space="preserve">Review reinsurance cover</t>
  </si>
  <si>
    <t xml:space="preserve">4. Mass Lapse Event</t>
  </si>
  <si>
    <t xml:space="preserve">40% immediate lapse</t>
  </si>
  <si>
    <t xml:space="preserve">(2,100)</t>
  </si>
  <si>
    <t xml:space="preserve">3.7%</t>
  </si>
  <si>
    <t xml:space="preserve">175%</t>
  </si>
  <si>
    <t xml:space="preserve">Surrender value monitoring</t>
  </si>
  <si>
    <t xml:space="preserve">5. Pandemic / Morbidity</t>
  </si>
  <si>
    <t xml:space="preserve">Claims ×2 for 3yr</t>
  </si>
  <si>
    <t xml:space="preserve">8,500</t>
  </si>
  <si>
    <t xml:space="preserve">15.2%</t>
  </si>
  <si>
    <t xml:space="preserve">118%</t>
  </si>
  <si>
    <t xml:space="preserve">Pandemic re cover limits</t>
  </si>
  <si>
    <t xml:space="preserve">6. Credit Spread +100bps</t>
  </si>
  <si>
    <t xml:space="preserve">+100bp on IG bonds</t>
  </si>
  <si>
    <t xml:space="preserve">(8,500)</t>
  </si>
  <si>
    <t xml:space="preserve">Credit quality controls</t>
  </si>
  <si>
    <t xml:space="preserve">7. Equity Fall 39%</t>
  </si>
  <si>
    <t xml:space="preserve">39% equity decline</t>
  </si>
  <si>
    <t xml:space="preserve">(3,120)</t>
  </si>
  <si>
    <t xml:space="preserve">3,120</t>
  </si>
  <si>
    <t xml:space="preserve">5.6%</t>
  </si>
  <si>
    <t xml:space="preserve">163%</t>
  </si>
  <si>
    <t xml:space="preserve">Equity limit compliance</t>
  </si>
  <si>
    <t xml:space="preserve">8. Property Fall 25%</t>
  </si>
  <si>
    <t xml:space="preserve">25% property fall</t>
  </si>
  <si>
    <t xml:space="preserve">(1,250)</t>
  </si>
  <si>
    <t xml:space="preserve">1,250</t>
  </si>
  <si>
    <t xml:space="preserve">2.2%</t>
  </si>
  <si>
    <t xml:space="preserve">179%</t>
  </si>
  <si>
    <t xml:space="preserve">Property exposure mgmt</t>
  </si>
  <si>
    <t xml:space="preserve">9. Combined Stress</t>
  </si>
  <si>
    <t xml:space="preserve">Rates+100,Spread+50,
Longevity</t>
  </si>
  <si>
    <t xml:space="preserve">9,440</t>
  </si>
  <si>
    <t xml:space="preserve">(14,820)</t>
  </si>
  <si>
    <t xml:space="preserve">16,800</t>
  </si>
  <si>
    <t xml:space="preserve">30.0%</t>
  </si>
  <si>
    <t xml:space="preserve">94%</t>
  </si>
  <si>
    <t xml:space="preserve">RED</t>
  </si>
  <si>
    <t xml:space="preserve">Immediate capital action</t>
  </si>
  <si>
    <t xml:space="preserve">10. Reverse Stress</t>
  </si>
  <si>
    <t xml:space="preserve">What breaks the firm</t>
  </si>
  <si>
    <t xml:space="preserve">TBD</t>
  </si>
  <si>
    <t xml:space="preserve">ORSA scenario modelling</t>
  </si>
  <si>
    <t xml:space="preserve">B. OWN RISK &amp; SOLVENCY ASSESSMENT (ORSA) – ALM SECTION SUMMARY</t>
  </si>
  <si>
    <t xml:space="preserve">ALM Objective</t>
  </si>
  <si>
    <t xml:space="preserve">To ensure asset and liability cash flows are closely matched, minimising basis risk, interest rate risk, and liquidity risk within the firm's risk appetite.</t>
  </si>
  <si>
    <t xml:space="preserve">Key Risks</t>
  </si>
  <si>
    <t xml:space="preserve">1. Duration mismatch (gap of 2.7 yrs) – main source of interest rate risk
2. Healthcare inflation risk – claims grow faster than asset income
3. Liquidity risk – large lapse event could require asset sales
4. Reinvestment risk – coupons reinvested at lower future rates</t>
  </si>
  <si>
    <t xml:space="preserve">Risk Appetite</t>
  </si>
  <si>
    <t xml:space="preserve">Board-approved limits: Duration gap ≤ 3 yrs; SCR ratio ≥ 120%; Solvency II ratio monitored vs 130% management buffer.</t>
  </si>
  <si>
    <t xml:space="preserve">Hedging Strategy</t>
  </si>
  <si>
    <t xml:space="preserve">Overlay: interest rate swaps to extend asset duration. LDI mandate for annuity-type liabilities. Reinsurance for longevity &amp; pandemic tails.</t>
  </si>
  <si>
    <t xml:space="preserve">Monitoring</t>
  </si>
  <si>
    <t xml:space="preserve">Monthly ALM committee reporting. Quarterly Board Risk Committee. Annual ORSA and Internal Model validation.</t>
  </si>
  <si>
    <t xml:space="preserve">ALM EXECUTIVE DASHBOARD – HEALTH &amp; CARE INSURANCE</t>
  </si>
  <si>
    <t xml:space="preserve">Valuation Date: 31 December 2024  |  Prepared by: Actuarial &amp; Finance  |  Status: FINAL</t>
  </si>
  <si>
    <t xml:space="preserve">SOLVENCY II RATIO</t>
  </si>
  <si>
    <t xml:space="preserve">BEL</t>
  </si>
  <si>
    <t xml:space="preserve">DURATION GAP</t>
  </si>
  <si>
    <t xml:space="preserve">TOTAL SCR</t>
  </si>
  <si>
    <t xml:space="preserve">RISK MARGIN</t>
  </si>
  <si>
    <t xml:space="preserve">TARGET: ≥ 130%</t>
  </si>
  <si>
    <t xml:space="preserve">(£'000)</t>
  </si>
  <si>
    <t xml:space="preserve">Best Estimate Liability</t>
  </si>
  <si>
    <t xml:space="preserve">Asset – Liability</t>
  </si>
  <si>
    <t xml:space="preserve">Post-diversification</t>
  </si>
  <si>
    <t xml:space="preserve">KEY ALM METRICS</t>
  </si>
  <si>
    <t xml:space="preserve">STRESS TEST OUTCOMES</t>
  </si>
  <si>
    <t xml:space="preserve">Value</t>
  </si>
  <si>
    <t xml:space="preserve">Target/Limit</t>
  </si>
  <si>
    <t xml:space="preserve">Status</t>
  </si>
  <si>
    <t xml:space="preserve">Trend</t>
  </si>
  <si>
    <t xml:space="preserve">Action</t>
  </si>
  <si>
    <t xml:space="preserve">Stress Scenario</t>
  </si>
  <si>
    <t xml:space="preserve">Post-Stress Ratio</t>
  </si>
  <si>
    <t xml:space="preserve">Change</t>
  </si>
  <si>
    <t xml:space="preserve">Surplus/(Def) £k</t>
  </si>
  <si>
    <t xml:space="preserve">Priority</t>
  </si>
  <si>
    <t xml:space="preserve">≥ 130%</t>
  </si>
  <si>
    <t xml:space="preserve">↑</t>
  </si>
  <si>
    <t xml:space="preserve">Within appetite</t>
  </si>
  <si>
    <t xml:space="preserve">Rates +100bps</t>
  </si>
  <si>
    <t xml:space="preserve">-0%</t>
  </si>
  <si>
    <t xml:space="preserve">£250</t>
  </si>
  <si>
    <t xml:space="preserve">Low</t>
  </si>
  <si>
    <t xml:space="preserve">Duration Gap (yrs)</t>
  </si>
  <si>
    <t xml:space="preserve">2.7</t>
  </si>
  <si>
    <t xml:space="preserve">≤ 3.0</t>
  </si>
  <si>
    <t xml:space="preserve">→</t>
  </si>
  <si>
    <t xml:space="preserve">Monitor swap overlay</t>
  </si>
  <si>
    <t xml:space="preserve">Rates -100bps</t>
  </si>
  <si>
    <t xml:space="preserve">+8%</t>
  </si>
  <si>
    <t xml:space="preserve">£870</t>
  </si>
  <si>
    <t xml:space="preserve">Liquidity Coverage</t>
  </si>
  <si>
    <t xml:space="preserve">158%</t>
  </si>
  <si>
    <t xml:space="preserve">≥ 100%</t>
  </si>
  <si>
    <t xml:space="preserve">Comfortable</t>
  </si>
  <si>
    <t xml:space="preserve">Longevity +10%</t>
  </si>
  <si>
    <t xml:space="preserve">-11%</t>
  </si>
  <si>
    <t xml:space="preserve">(£620)</t>
  </si>
  <si>
    <t xml:space="preserve">Medium</t>
  </si>
  <si>
    <t xml:space="preserve">PV01 (£k/bp)</t>
  </si>
  <si>
    <t xml:space="preserve">£2,660</t>
  </si>
  <si>
    <t xml:space="preserve">&lt; £5,000</t>
  </si>
  <si>
    <t xml:space="preserve">Within Board limit</t>
  </si>
  <si>
    <t xml:space="preserve">Pandemic x2</t>
  </si>
  <si>
    <t xml:space="preserve">-26%</t>
  </si>
  <si>
    <t xml:space="preserve">(£3,100)</t>
  </si>
  <si>
    <t xml:space="preserve">High</t>
  </si>
  <si>
    <t xml:space="preserve">62bps</t>
  </si>
  <si>
    <t xml:space="preserve">≥ 50bps</t>
  </si>
  <si>
    <t xml:space="preserve">↓</t>
  </si>
  <si>
    <t xml:space="preserve">Review MA portfolio</t>
  </si>
  <si>
    <t xml:space="preserve">Spread +100bps</t>
  </si>
  <si>
    <t xml:space="preserve">Reinvestment Risk</t>
  </si>
  <si>
    <t xml:space="preserve">Extend asset duration</t>
  </si>
  <si>
    <t xml:space="preserve">Combined Stress</t>
  </si>
  <si>
    <t xml:space="preserve">-50%</t>
  </si>
  <si>
    <t xml:space="preserve">(£7,200)</t>
  </si>
  <si>
    <t xml:space="preserve">Critical</t>
  </si>
  <si>
    <t xml:space="preserve">Longevity Hedge Ratio</t>
  </si>
  <si>
    <t xml:space="preserve">65%</t>
  </si>
  <si>
    <t xml:space="preserve">≥ 75%</t>
  </si>
  <si>
    <t xml:space="preserve">Buy more longevity swaps</t>
  </si>
  <si>
    <t xml:space="preserve">Mass Lapse 40%</t>
  </si>
  <si>
    <t xml:space="preserve">+31%</t>
  </si>
  <si>
    <t xml:space="preserve">£3,300</t>
  </si>
  <si>
    <t xml:space="preserve">Credit Quality (avg)</t>
  </si>
  <si>
    <t xml:space="preserve">A-</t>
  </si>
  <si>
    <t xml:space="preserve">≥ BBB+</t>
  </si>
  <si>
    <t xml:space="preserve">Within guidelines</t>
  </si>
  <si>
    <t xml:space="preserve">Equity -39%</t>
  </si>
  <si>
    <t xml:space="preserve">+19%</t>
  </si>
  <si>
    <t xml:space="preserve">£2,100</t>
  </si>
  <si>
    <t xml:space="preserve">ASSET ALLOCATION SUMMARY</t>
  </si>
  <si>
    <t xml:space="preserve">ALM ACTION LOG</t>
  </si>
  <si>
    <t xml:space="preserve">Market Value (£k)</t>
  </si>
  <si>
    <t xml:space="preserve">% Alloc</t>
  </si>
  <si>
    <t xml:space="preserve">Yield</t>
  </si>
  <si>
    <t xml:space="preserve">Duration</t>
  </si>
  <si>
    <t xml:space="preserve">vs Benchmark</t>
  </si>
  <si>
    <t xml:space="preserve">Action Item</t>
  </si>
  <si>
    <t xml:space="preserve">Owner</t>
  </si>
  <si>
    <t xml:space="preserve">Due Date</t>
  </si>
  <si>
    <t xml:space="preserve">UK Gilts</t>
  </si>
  <si>
    <t xml:space="preserve">40,000</t>
  </si>
  <si>
    <t xml:space="preserve">40.0%</t>
  </si>
  <si>
    <t xml:space="preserve">3.85%</t>
  </si>
  <si>
    <t xml:space="preserve">12.5</t>
  </si>
  <si>
    <t xml:space="preserve">On target</t>
  </si>
  <si>
    <t xml:space="preserve">Extend asset duration via IRS</t>
  </si>
  <si>
    <t xml:space="preserve">Treasury</t>
  </si>
  <si>
    <t xml:space="preserve">Jan-25</t>
  </si>
  <si>
    <t xml:space="preserve">HIGH</t>
  </si>
  <si>
    <t xml:space="preserve">IN PROGRESS</t>
  </si>
  <si>
    <t xml:space="preserve">Close 2.7yr gap to &lt;2yrs</t>
  </si>
  <si>
    <t xml:space="preserve">IG Corporate</t>
  </si>
  <si>
    <t xml:space="preserve">30,000</t>
  </si>
  <si>
    <t xml:space="preserve">4.80%</t>
  </si>
  <si>
    <t xml:space="preserve">8.2</t>
  </si>
  <si>
    <t xml:space="preserve">Slightly short</t>
  </si>
  <si>
    <t xml:space="preserve">Increase longevity hedge to 75%</t>
  </si>
  <si>
    <t xml:space="preserve">Actuarial</t>
  </si>
  <si>
    <t xml:space="preserve">Mar-25</t>
  </si>
  <si>
    <t xml:space="preserve">PLANNED</t>
  </si>
  <si>
    <t xml:space="preserve">    Negotiate longevity swap</t>
  </si>
  <si>
    <t xml:space="preserve">Infrastructure</t>
  </si>
  <si>
    <t xml:space="preserve">10,000</t>
  </si>
  <si>
    <t xml:space="preserve">10.0%</t>
  </si>
  <si>
    <t xml:space="preserve">5.40%</t>
  </si>
  <si>
    <t xml:space="preserve">15.0</t>
  </si>
  <si>
    <t xml:space="preserve">Review MA portfolio eligibility</t>
  </si>
  <si>
    <t xml:space="preserve">Finance</t>
  </si>
  <si>
    <t xml:space="preserve">Feb-25</t>
  </si>
  <si>
    <t xml:space="preserve">MED</t>
  </si>
  <si>
    <t xml:space="preserve">Ensure PRA compliance</t>
  </si>
  <si>
    <t xml:space="preserve">Equity</t>
  </si>
  <si>
    <t xml:space="preserve">8,000</t>
  </si>
  <si>
    <t xml:space="preserve">8.0%</t>
  </si>
  <si>
    <t xml:space="preserve">7.00%</t>
  </si>
  <si>
    <t xml:space="preserve">Overweight</t>
  </si>
  <si>
    <t xml:space="preserve">Pandemic reinsurance renewal</t>
  </si>
  <si>
    <t xml:space="preserve">Risk</t>
  </si>
  <si>
    <t xml:space="preserve">Apr-25</t>
  </si>
  <si>
    <t xml:space="preserve">OPEN</t>
  </si>
  <si>
    <t xml:space="preserve">Review cover limits post-ORSA</t>
  </si>
  <si>
    <t xml:space="preserve">5,000</t>
  </si>
  <si>
    <t xml:space="preserve">5.0%</t>
  </si>
  <si>
    <t xml:space="preserve">5.50%</t>
  </si>
  <si>
    <t xml:space="preserve">ALM stress test update</t>
  </si>
  <si>
    <t xml:space="preserve">Dec-24</t>
  </si>
  <si>
    <t xml:space="preserve">COMPLETE</t>
  </si>
  <si>
    <t xml:space="preserve">Q4 2024 results filed</t>
  </si>
  <si>
    <t xml:space="preserve">Cash</t>
  </si>
  <si>
    <t xml:space="preserve">7,000</t>
  </si>
  <si>
    <t xml:space="preserve">7.0%</t>
  </si>
  <si>
    <t xml:space="preserve">5.10%</t>
  </si>
  <si>
    <t xml:space="preserve">0.3</t>
  </si>
  <si>
    <t xml:space="preserve">Credit quality review</t>
  </si>
  <si>
    <t xml:space="preserve">LOW</t>
  </si>
  <si>
    <t xml:space="preserve">BBB holdings &lt;5% limit</t>
  </si>
  <si>
    <t xml:space="preserve">100,000</t>
  </si>
  <si>
    <t xml:space="preserve">100%</t>
  </si>
  <si>
    <t xml:space="preserve">4.71%</t>
  </si>
  <si>
    <t xml:space="preserve">ORSA sign-off</t>
  </si>
  <si>
    <t xml:space="preserve">CRO</t>
  </si>
  <si>
    <t xml:space="preserve">Board pack preparation</t>
  </si>
  <si>
    <t xml:space="preserve">Liquidity contingency plan</t>
  </si>
  <si>
    <t xml:space="preserve">1-month survival horizon</t>
  </si>
  <si>
    <t xml:space="preserve">Model validation – LDI</t>
  </si>
  <si>
    <t xml:space="preserve">Jun-25</t>
  </si>
  <si>
    <t xml:space="preserve">Annual model governance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</si>
</sst>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%"/>
    <numFmt numFmtId="167" formatCode="#,##0.0"/>
    <numFmt numFmtId="168" formatCode="#,##0"/>
    <numFmt numFmtId="169" formatCode="0.000000"/>
    <numFmt numFmtId="170" formatCode="\£#,##0"/>
    <numFmt numFmtId="171" formatCode="0.0&quot; yrs&quot;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sz val="14"/>
      <color rgb="FFBDD7EE"/>
      <name val="Arial"/>
      <family val="0"/>
      <charset val="1"/>
    </font>
    <font>
      <sz val="11"/>
      <color rgb="FFD9D9D9"/>
      <name val="Arial"/>
      <family val="0"/>
      <charset val="1"/>
    </font>
    <font>
      <b val="true"/>
      <sz val="11"/>
      <color rgb="FFC9A22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6"/>
      <color rgb="FF00B050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C9A227"/>
      <name val="Arial"/>
      <family val="0"/>
      <charset val="1"/>
    </font>
    <font>
      <b val="true"/>
      <sz val="16"/>
      <color rgb="FFED7D31"/>
      <name val="Arial"/>
      <family val="0"/>
      <charset val="1"/>
    </font>
    <font>
      <b val="true"/>
      <sz val="16"/>
      <color rgb="FFFF0000"/>
      <name val="Arial"/>
      <family val="0"/>
      <charset val="1"/>
    </font>
    <font>
      <sz val="8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D9D9"/>
      </patternFill>
    </fill>
    <fill>
      <patternFill patternType="solid">
        <fgColor rgb="FFDEEAF1"/>
        <bgColor rgb="FFF2F2F2"/>
      </patternFill>
    </fill>
    <fill>
      <patternFill patternType="solid">
        <fgColor rgb="FFF2F2F2"/>
        <bgColor rgb="FFDEEAF1"/>
      </patternFill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ED7D31"/>
        <bgColor rgb="FFFF8080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EEAF1"/>
      </patternFill>
    </fill>
    <fill>
      <patternFill patternType="solid">
        <fgColor rgb="FFC9A227"/>
        <bgColor rgb="FFED7D3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3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030A0"/>
      <rgbColor rgb="FFF2F2F2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ED7D31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I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"/>
    <col collapsed="false" customWidth="true" hidden="false" outlineLevel="0" max="4" min="3" style="0" width="20"/>
    <col collapsed="false" customWidth="true" hidden="false" outlineLevel="0" max="5" min="5" style="0" width="35"/>
    <col collapsed="false" customWidth="true" hidden="false" outlineLevel="0" max="9" min="6" style="0" width="15"/>
  </cols>
  <sheetData>
    <row r="2" customFormat="false" ht="30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30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</row>
    <row r="5" customFormat="false" ht="30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</row>
    <row r="7" customFormat="false" ht="21.75" hidden="false" customHeight="true" outlineLevel="0" collapsed="false">
      <c r="B7" s="5" t="s">
        <v>4</v>
      </c>
      <c r="C7" s="5"/>
      <c r="D7" s="5"/>
      <c r="E7" s="5"/>
      <c r="F7" s="5"/>
      <c r="G7" s="5"/>
      <c r="H7" s="5"/>
      <c r="I7" s="5"/>
    </row>
    <row r="8" customFormat="false" ht="21.75" hidden="false" customHeight="true" outlineLevel="0" collapsed="false">
      <c r="B8" s="6" t="s">
        <v>5</v>
      </c>
      <c r="C8" s="7" t="s">
        <v>6</v>
      </c>
      <c r="D8" s="7"/>
      <c r="E8" s="8" t="s">
        <v>7</v>
      </c>
      <c r="F8" s="8"/>
      <c r="G8" s="8"/>
      <c r="H8" s="8"/>
      <c r="I8" s="8"/>
    </row>
    <row r="9" customFormat="false" ht="21.75" hidden="false" customHeight="true" outlineLevel="0" collapsed="false">
      <c r="B9" s="6" t="s">
        <v>8</v>
      </c>
      <c r="C9" s="7" t="s">
        <v>9</v>
      </c>
      <c r="D9" s="7"/>
      <c r="E9" s="8" t="s">
        <v>10</v>
      </c>
      <c r="F9" s="8"/>
      <c r="G9" s="8"/>
      <c r="H9" s="8"/>
      <c r="I9" s="8"/>
    </row>
    <row r="10" customFormat="false" ht="21.75" hidden="false" customHeight="true" outlineLevel="0" collapsed="false">
      <c r="B10" s="6" t="s">
        <v>11</v>
      </c>
      <c r="C10" s="7" t="s">
        <v>12</v>
      </c>
      <c r="D10" s="7"/>
      <c r="E10" s="8" t="s">
        <v>13</v>
      </c>
      <c r="F10" s="8"/>
      <c r="G10" s="8"/>
      <c r="H10" s="8"/>
      <c r="I10" s="8"/>
    </row>
    <row r="11" customFormat="false" ht="21.75" hidden="false" customHeight="true" outlineLevel="0" collapsed="false">
      <c r="B11" s="6" t="s">
        <v>14</v>
      </c>
      <c r="C11" s="7" t="s">
        <v>15</v>
      </c>
      <c r="D11" s="7"/>
      <c r="E11" s="8" t="s">
        <v>16</v>
      </c>
      <c r="F11" s="8"/>
      <c r="G11" s="8"/>
      <c r="H11" s="8"/>
      <c r="I11" s="8"/>
    </row>
    <row r="12" customFormat="false" ht="21.75" hidden="false" customHeight="true" outlineLevel="0" collapsed="false">
      <c r="B12" s="6" t="s">
        <v>17</v>
      </c>
      <c r="C12" s="7" t="s">
        <v>18</v>
      </c>
      <c r="D12" s="7"/>
      <c r="E12" s="8" t="s">
        <v>19</v>
      </c>
      <c r="F12" s="8"/>
      <c r="G12" s="8"/>
      <c r="H12" s="8"/>
      <c r="I12" s="8"/>
    </row>
    <row r="13" customFormat="false" ht="21.75" hidden="false" customHeight="true" outlineLevel="0" collapsed="false">
      <c r="B13" s="6" t="s">
        <v>20</v>
      </c>
      <c r="C13" s="7" t="s">
        <v>21</v>
      </c>
      <c r="D13" s="7"/>
      <c r="E13" s="8" t="s">
        <v>22</v>
      </c>
      <c r="F13" s="8"/>
      <c r="G13" s="8"/>
      <c r="H13" s="8"/>
      <c r="I13" s="8"/>
    </row>
    <row r="15" customFormat="false" ht="15" hidden="false" customHeight="false" outlineLevel="0" collapsed="false">
      <c r="B15" s="9" t="s">
        <v>23</v>
      </c>
      <c r="C15" s="9"/>
      <c r="D15" s="9"/>
      <c r="E15" s="9"/>
      <c r="F15" s="9"/>
      <c r="G15" s="9"/>
      <c r="H15" s="9"/>
      <c r="I15" s="9"/>
    </row>
    <row r="16" customFormat="false" ht="18" hidden="false" customHeight="true" outlineLevel="0" collapsed="false">
      <c r="B16" s="10" t="s">
        <v>24</v>
      </c>
      <c r="C16" s="10"/>
      <c r="D16" s="10"/>
      <c r="E16" s="11" t="s">
        <v>25</v>
      </c>
      <c r="F16" s="11"/>
      <c r="G16" s="11"/>
      <c r="H16" s="11"/>
      <c r="I16" s="11"/>
    </row>
    <row r="17" customFormat="false" ht="18" hidden="false" customHeight="true" outlineLevel="0" collapsed="false">
      <c r="B17" s="12" t="s">
        <v>26</v>
      </c>
      <c r="C17" s="12"/>
      <c r="D17" s="12"/>
      <c r="E17" s="11" t="s">
        <v>27</v>
      </c>
      <c r="F17" s="11"/>
      <c r="G17" s="11"/>
      <c r="H17" s="11"/>
      <c r="I17" s="11"/>
    </row>
    <row r="18" customFormat="false" ht="18" hidden="false" customHeight="true" outlineLevel="0" collapsed="false">
      <c r="B18" s="13" t="s">
        <v>28</v>
      </c>
      <c r="C18" s="13"/>
      <c r="D18" s="13"/>
      <c r="E18" s="11" t="s">
        <v>29</v>
      </c>
      <c r="F18" s="11"/>
      <c r="G18" s="11"/>
      <c r="H18" s="11"/>
      <c r="I18" s="11"/>
    </row>
    <row r="19" customFormat="false" ht="18" hidden="false" customHeight="true" outlineLevel="0" collapsed="false">
      <c r="B19" s="14" t="s">
        <v>30</v>
      </c>
      <c r="C19" s="14"/>
      <c r="D19" s="14"/>
      <c r="E19" s="11" t="s">
        <v>31</v>
      </c>
      <c r="F19" s="11"/>
      <c r="G19" s="11"/>
      <c r="H19" s="11"/>
      <c r="I19" s="11"/>
    </row>
  </sheetData>
  <mergeCells count="26">
    <mergeCell ref="B2:I2"/>
    <mergeCell ref="B3:I3"/>
    <mergeCell ref="B4:I4"/>
    <mergeCell ref="B5:I5"/>
    <mergeCell ref="B7:I7"/>
    <mergeCell ref="C8:D8"/>
    <mergeCell ref="E8:I8"/>
    <mergeCell ref="C9:D9"/>
    <mergeCell ref="E9:I9"/>
    <mergeCell ref="C10:D10"/>
    <mergeCell ref="E10:I10"/>
    <mergeCell ref="C11:D11"/>
    <mergeCell ref="E11:I11"/>
    <mergeCell ref="C12:D12"/>
    <mergeCell ref="E12:I12"/>
    <mergeCell ref="C13:D13"/>
    <mergeCell ref="E13:I13"/>
    <mergeCell ref="B15:I15"/>
    <mergeCell ref="B16:D16"/>
    <mergeCell ref="E16:I16"/>
    <mergeCell ref="B17:D17"/>
    <mergeCell ref="E17:I17"/>
    <mergeCell ref="B18:D18"/>
    <mergeCell ref="E18:I18"/>
    <mergeCell ref="B19:D19"/>
    <mergeCell ref="E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27.75" hidden="false" customHeight="true" outlineLevel="0" collapsed="false">
      <c r="A1" s="15" t="s">
        <v>32</v>
      </c>
      <c r="B1" s="15"/>
      <c r="C1" s="15"/>
      <c r="D1" s="15"/>
      <c r="E1" s="15"/>
      <c r="F1" s="15"/>
      <c r="G1" s="15"/>
      <c r="H1" s="15"/>
    </row>
    <row r="3" customFormat="false" ht="15" hidden="false" customHeight="true" outlineLevel="0" collapsed="false">
      <c r="A3" s="16" t="s">
        <v>33</v>
      </c>
      <c r="B3" s="16"/>
      <c r="C3" s="16"/>
      <c r="D3" s="16"/>
      <c r="E3" s="16"/>
      <c r="F3" s="16"/>
      <c r="G3" s="16"/>
      <c r="H3" s="16"/>
    </row>
    <row r="4" customFormat="false" ht="15" hidden="false" customHeight="false" outlineLevel="0" collapsed="false">
      <c r="A4" s="17" t="s">
        <v>34</v>
      </c>
      <c r="B4" s="17" t="s">
        <v>35</v>
      </c>
      <c r="C4" s="17" t="s">
        <v>36</v>
      </c>
      <c r="D4" s="17" t="s">
        <v>37</v>
      </c>
      <c r="E4" s="17" t="s">
        <v>38</v>
      </c>
      <c r="F4" s="17" t="s">
        <v>39</v>
      </c>
      <c r="G4" s="17" t="s">
        <v>40</v>
      </c>
    </row>
    <row r="5" customFormat="false" ht="18" hidden="false" customHeight="true" outlineLevel="0" collapsed="false">
      <c r="A5" s="18" t="s">
        <v>41</v>
      </c>
      <c r="B5" s="18" t="s">
        <v>42</v>
      </c>
      <c r="C5" s="19" t="n">
        <v>0.035</v>
      </c>
      <c r="D5" s="19" t="n">
        <v>0.015</v>
      </c>
      <c r="E5" s="19" t="n">
        <v>0.055</v>
      </c>
      <c r="F5" s="18" t="s">
        <v>43</v>
      </c>
      <c r="G5" s="18" t="s">
        <v>44</v>
      </c>
    </row>
    <row r="6" customFormat="false" ht="18" hidden="false" customHeight="true" outlineLevel="0" collapsed="false">
      <c r="A6" s="18" t="s">
        <v>45</v>
      </c>
      <c r="B6" s="18" t="s">
        <v>46</v>
      </c>
      <c r="C6" s="19" t="n">
        <v>0.0085</v>
      </c>
      <c r="D6" s="19" t="n">
        <v>0.018</v>
      </c>
      <c r="E6" s="19" t="n">
        <v>0.0045</v>
      </c>
      <c r="F6" s="18" t="s">
        <v>43</v>
      </c>
      <c r="G6" s="18" t="s">
        <v>47</v>
      </c>
    </row>
    <row r="7" customFormat="false" ht="18" hidden="false" customHeight="true" outlineLevel="0" collapsed="false">
      <c r="A7" s="18" t="s">
        <v>48</v>
      </c>
      <c r="B7" s="18" t="s">
        <v>49</v>
      </c>
      <c r="C7" s="19" t="n">
        <v>0.0062</v>
      </c>
      <c r="D7" s="19" t="n">
        <v>0.003</v>
      </c>
      <c r="E7" s="19" t="n">
        <v>0.008</v>
      </c>
      <c r="F7" s="18" t="s">
        <v>43</v>
      </c>
      <c r="G7" s="18" t="s">
        <v>50</v>
      </c>
    </row>
    <row r="8" customFormat="false" ht="18" hidden="false" customHeight="true" outlineLevel="0" collapsed="false">
      <c r="A8" s="18" t="s">
        <v>51</v>
      </c>
      <c r="B8" s="18" t="s">
        <v>52</v>
      </c>
      <c r="C8" s="19" t="n">
        <v>0.002</v>
      </c>
      <c r="D8" s="19" t="n">
        <v>0.0008</v>
      </c>
      <c r="E8" s="19" t="n">
        <v>0.0035</v>
      </c>
      <c r="F8" s="18" t="s">
        <v>43</v>
      </c>
      <c r="G8" s="18" t="s">
        <v>53</v>
      </c>
    </row>
    <row r="9" customFormat="false" ht="18" hidden="false" customHeight="true" outlineLevel="0" collapsed="false">
      <c r="A9" s="18" t="s">
        <v>54</v>
      </c>
      <c r="B9" s="18" t="s">
        <v>55</v>
      </c>
      <c r="C9" s="20" t="n">
        <f aca="false">C5+C7+C8</f>
        <v>0.0432</v>
      </c>
      <c r="D9" s="20" t="n">
        <f aca="false">D5+D7+D8</f>
        <v>0.0188</v>
      </c>
      <c r="E9" s="20" t="n">
        <f aca="false">E5+E7+E8</f>
        <v>0.0665</v>
      </c>
      <c r="F9" s="18" t="s">
        <v>43</v>
      </c>
      <c r="G9" s="18" t="s">
        <v>56</v>
      </c>
    </row>
    <row r="10" customFormat="false" ht="18" hidden="false" customHeight="true" outlineLevel="0" collapsed="false">
      <c r="A10" s="18" t="s">
        <v>57</v>
      </c>
      <c r="B10" s="18" t="s">
        <v>58</v>
      </c>
      <c r="C10" s="19" t="n">
        <v>0.025</v>
      </c>
      <c r="D10" s="19" t="n">
        <v>0.01</v>
      </c>
      <c r="E10" s="19" t="n">
        <v>0.045</v>
      </c>
      <c r="F10" s="18" t="s">
        <v>43</v>
      </c>
      <c r="G10" s="18" t="s">
        <v>59</v>
      </c>
    </row>
    <row r="11" customFormat="false" ht="18" hidden="false" customHeight="true" outlineLevel="0" collapsed="false">
      <c r="A11" s="18" t="s">
        <v>60</v>
      </c>
      <c r="B11" s="18" t="s">
        <v>61</v>
      </c>
      <c r="C11" s="19" t="n">
        <v>0.022</v>
      </c>
      <c r="D11" s="19" t="n">
        <v>0.008</v>
      </c>
      <c r="E11" s="19" t="n">
        <v>0.04</v>
      </c>
      <c r="F11" s="18" t="s">
        <v>43</v>
      </c>
      <c r="G11" s="18" t="s">
        <v>59</v>
      </c>
    </row>
    <row r="12" customFormat="false" ht="18" hidden="false" customHeight="true" outlineLevel="0" collapsed="false">
      <c r="A12" s="18" t="s">
        <v>62</v>
      </c>
      <c r="B12" s="18" t="s">
        <v>63</v>
      </c>
      <c r="C12" s="19" t="n">
        <v>0.038</v>
      </c>
      <c r="D12" s="19" t="n">
        <v>0.02</v>
      </c>
      <c r="E12" s="19" t="n">
        <v>0.06</v>
      </c>
      <c r="F12" s="18" t="s">
        <v>43</v>
      </c>
      <c r="G12" s="18" t="s">
        <v>64</v>
      </c>
    </row>
    <row r="13" customFormat="false" ht="18" hidden="false" customHeight="true" outlineLevel="0" collapsed="false">
      <c r="A13" s="18" t="s">
        <v>65</v>
      </c>
      <c r="B13" s="18" t="s">
        <v>66</v>
      </c>
      <c r="C13" s="19" t="n">
        <v>0.07</v>
      </c>
      <c r="D13" s="19" t="n">
        <v>0.03</v>
      </c>
      <c r="E13" s="19" t="n">
        <v>0.1</v>
      </c>
      <c r="F13" s="18" t="s">
        <v>43</v>
      </c>
      <c r="G13" s="18" t="s">
        <v>67</v>
      </c>
    </row>
    <row r="14" customFormat="false" ht="18" hidden="false" customHeight="true" outlineLevel="0" collapsed="false">
      <c r="A14" s="18" t="s">
        <v>68</v>
      </c>
      <c r="B14" s="18" t="s">
        <v>69</v>
      </c>
      <c r="C14" s="19" t="n">
        <v>0.055</v>
      </c>
      <c r="D14" s="19" t="n">
        <v>0.02</v>
      </c>
      <c r="E14" s="19" t="n">
        <v>0.075</v>
      </c>
      <c r="F14" s="18" t="s">
        <v>43</v>
      </c>
      <c r="G14" s="18" t="s">
        <v>70</v>
      </c>
    </row>
    <row r="16" customFormat="false" ht="15" hidden="false" customHeight="true" outlineLevel="0" collapsed="false">
      <c r="A16" s="16" t="s">
        <v>71</v>
      </c>
      <c r="B16" s="16"/>
      <c r="C16" s="16"/>
      <c r="D16" s="16"/>
      <c r="E16" s="16"/>
      <c r="F16" s="16"/>
      <c r="G16" s="16"/>
      <c r="H16" s="16"/>
    </row>
    <row r="17" customFormat="false" ht="15" hidden="false" customHeight="false" outlineLevel="0" collapsed="false">
      <c r="A17" s="17" t="s">
        <v>34</v>
      </c>
      <c r="B17" s="17" t="s">
        <v>35</v>
      </c>
      <c r="C17" s="17" t="s">
        <v>36</v>
      </c>
      <c r="D17" s="17" t="s">
        <v>72</v>
      </c>
      <c r="E17" s="17" t="s">
        <v>39</v>
      </c>
      <c r="F17" s="17" t="s">
        <v>73</v>
      </c>
    </row>
    <row r="18" customFormat="false" ht="18" hidden="false" customHeight="true" outlineLevel="0" collapsed="false">
      <c r="A18" s="18" t="s">
        <v>74</v>
      </c>
      <c r="B18" s="18" t="s">
        <v>75</v>
      </c>
      <c r="C18" s="21" t="s">
        <v>76</v>
      </c>
      <c r="D18" s="21" t="s">
        <v>77</v>
      </c>
      <c r="E18" s="18" t="s">
        <v>43</v>
      </c>
      <c r="F18" s="18" t="s">
        <v>78</v>
      </c>
    </row>
    <row r="19" customFormat="false" ht="18" hidden="false" customHeight="true" outlineLevel="0" collapsed="false">
      <c r="A19" s="18" t="s">
        <v>79</v>
      </c>
      <c r="B19" s="18" t="s">
        <v>80</v>
      </c>
      <c r="C19" s="21" t="s">
        <v>81</v>
      </c>
      <c r="D19" s="21" t="s">
        <v>82</v>
      </c>
      <c r="E19" s="18" t="s">
        <v>83</v>
      </c>
      <c r="F19" s="18" t="s">
        <v>84</v>
      </c>
    </row>
    <row r="20" customFormat="false" ht="18" hidden="false" customHeight="true" outlineLevel="0" collapsed="false">
      <c r="A20" s="18" t="s">
        <v>85</v>
      </c>
      <c r="B20" s="18" t="s">
        <v>86</v>
      </c>
      <c r="C20" s="21" t="s">
        <v>87</v>
      </c>
      <c r="D20" s="21" t="s">
        <v>88</v>
      </c>
      <c r="E20" s="18" t="s">
        <v>43</v>
      </c>
      <c r="F20" s="18" t="s">
        <v>89</v>
      </c>
    </row>
    <row r="21" customFormat="false" ht="18" hidden="false" customHeight="true" outlineLevel="0" collapsed="false">
      <c r="A21" s="18" t="s">
        <v>90</v>
      </c>
      <c r="B21" s="18" t="s">
        <v>91</v>
      </c>
      <c r="C21" s="21" t="s">
        <v>92</v>
      </c>
      <c r="D21" s="21" t="s">
        <v>93</v>
      </c>
      <c r="E21" s="18" t="s">
        <v>43</v>
      </c>
      <c r="F21" s="18" t="s">
        <v>94</v>
      </c>
    </row>
    <row r="22" customFormat="false" ht="18" hidden="false" customHeight="true" outlineLevel="0" collapsed="false">
      <c r="A22" s="18" t="s">
        <v>95</v>
      </c>
      <c r="B22" s="18" t="s">
        <v>96</v>
      </c>
      <c r="C22" s="21" t="s">
        <v>97</v>
      </c>
      <c r="D22" s="21" t="s">
        <v>98</v>
      </c>
      <c r="E22" s="18" t="s">
        <v>43</v>
      </c>
      <c r="F22" s="18" t="s">
        <v>99</v>
      </c>
    </row>
    <row r="23" customFormat="false" ht="18" hidden="false" customHeight="true" outlineLevel="0" collapsed="false">
      <c r="A23" s="18" t="s">
        <v>100</v>
      </c>
      <c r="B23" s="18" t="s">
        <v>101</v>
      </c>
      <c r="C23" s="21" t="s">
        <v>88</v>
      </c>
      <c r="D23" s="21" t="s">
        <v>93</v>
      </c>
      <c r="E23" s="18" t="s">
        <v>43</v>
      </c>
      <c r="F23" s="18" t="s">
        <v>102</v>
      </c>
    </row>
    <row r="24" customFormat="false" ht="18" hidden="false" customHeight="true" outlineLevel="0" collapsed="false">
      <c r="A24" s="18" t="s">
        <v>103</v>
      </c>
      <c r="B24" s="18" t="s">
        <v>104</v>
      </c>
      <c r="C24" s="21" t="s">
        <v>105</v>
      </c>
      <c r="D24" s="21" t="s">
        <v>106</v>
      </c>
      <c r="E24" s="18" t="s">
        <v>107</v>
      </c>
      <c r="F24" s="18" t="s">
        <v>108</v>
      </c>
    </row>
    <row r="25" customFormat="false" ht="18" hidden="false" customHeight="true" outlineLevel="0" collapsed="false">
      <c r="A25" s="18" t="s">
        <v>109</v>
      </c>
      <c r="B25" s="18" t="s">
        <v>110</v>
      </c>
      <c r="C25" s="21" t="s">
        <v>111</v>
      </c>
      <c r="D25" s="21" t="s">
        <v>112</v>
      </c>
      <c r="E25" s="18" t="s">
        <v>113</v>
      </c>
      <c r="F25" s="18" t="s">
        <v>114</v>
      </c>
    </row>
    <row r="28" customFormat="false" ht="15" hidden="false" customHeight="true" outlineLevel="0" collapsed="false">
      <c r="A28" s="16" t="s">
        <v>115</v>
      </c>
      <c r="B28" s="16"/>
      <c r="C28" s="16"/>
      <c r="D28" s="16"/>
      <c r="E28" s="16"/>
      <c r="F28" s="16"/>
      <c r="G28" s="16"/>
      <c r="H28" s="16"/>
    </row>
    <row r="29" customFormat="false" ht="23.85" hidden="false" customHeight="false" outlineLevel="0" collapsed="false">
      <c r="A29" s="17" t="s">
        <v>116</v>
      </c>
      <c r="B29" s="17" t="s">
        <v>117</v>
      </c>
      <c r="C29" s="17" t="s">
        <v>118</v>
      </c>
      <c r="D29" s="17" t="s">
        <v>119</v>
      </c>
      <c r="E29" s="17" t="s">
        <v>120</v>
      </c>
      <c r="F29" s="17" t="s">
        <v>121</v>
      </c>
    </row>
    <row r="30" customFormat="false" ht="18" hidden="false" customHeight="true" outlineLevel="0" collapsed="false">
      <c r="A30" s="18" t="s">
        <v>122</v>
      </c>
      <c r="B30" s="22" t="n">
        <v>0.4</v>
      </c>
      <c r="C30" s="22" t="n">
        <v>0.0385</v>
      </c>
      <c r="D30" s="23" t="n">
        <v>12.5</v>
      </c>
      <c r="E30" s="21" t="s">
        <v>123</v>
      </c>
      <c r="F30" s="21" t="s">
        <v>124</v>
      </c>
    </row>
    <row r="31" customFormat="false" ht="18" hidden="false" customHeight="true" outlineLevel="0" collapsed="false">
      <c r="A31" s="18" t="s">
        <v>125</v>
      </c>
      <c r="B31" s="22" t="n">
        <v>0.3</v>
      </c>
      <c r="C31" s="22" t="n">
        <v>0.048</v>
      </c>
      <c r="D31" s="23" t="n">
        <v>8.2</v>
      </c>
      <c r="E31" s="21" t="s">
        <v>126</v>
      </c>
      <c r="F31" s="21" t="s">
        <v>127</v>
      </c>
    </row>
    <row r="32" customFormat="false" ht="18" hidden="false" customHeight="true" outlineLevel="0" collapsed="false">
      <c r="A32" s="18" t="s">
        <v>128</v>
      </c>
      <c r="B32" s="22" t="n">
        <v>0.1</v>
      </c>
      <c r="C32" s="22" t="n">
        <v>0.054</v>
      </c>
      <c r="D32" s="23" t="n">
        <v>15</v>
      </c>
      <c r="E32" s="21" t="s">
        <v>129</v>
      </c>
      <c r="F32" s="21" t="s">
        <v>130</v>
      </c>
    </row>
    <row r="33" customFormat="false" ht="18" hidden="false" customHeight="true" outlineLevel="0" collapsed="false">
      <c r="A33" s="18" t="s">
        <v>131</v>
      </c>
      <c r="B33" s="22" t="n">
        <v>0.08</v>
      </c>
      <c r="C33" s="22" t="n">
        <v>0.07</v>
      </c>
      <c r="D33" s="21" t="s">
        <v>81</v>
      </c>
      <c r="E33" s="21" t="s">
        <v>81</v>
      </c>
      <c r="F33" s="21" t="s">
        <v>132</v>
      </c>
    </row>
    <row r="34" customFormat="false" ht="18" hidden="false" customHeight="true" outlineLevel="0" collapsed="false">
      <c r="A34" s="18" t="s">
        <v>133</v>
      </c>
      <c r="B34" s="22" t="n">
        <v>0.05</v>
      </c>
      <c r="C34" s="22" t="n">
        <v>0.055</v>
      </c>
      <c r="D34" s="21" t="s">
        <v>81</v>
      </c>
      <c r="E34" s="21" t="s">
        <v>81</v>
      </c>
      <c r="F34" s="21" t="s">
        <v>134</v>
      </c>
    </row>
    <row r="35" customFormat="false" ht="18" hidden="false" customHeight="true" outlineLevel="0" collapsed="false">
      <c r="A35" s="18" t="s">
        <v>135</v>
      </c>
      <c r="B35" s="22" t="n">
        <v>0.07</v>
      </c>
      <c r="C35" s="22" t="n">
        <v>0.051</v>
      </c>
      <c r="D35" s="23" t="n">
        <v>0.3</v>
      </c>
      <c r="E35" s="21" t="s">
        <v>123</v>
      </c>
      <c r="F35" s="21" t="s">
        <v>136</v>
      </c>
    </row>
    <row r="36" customFormat="false" ht="18" hidden="false" customHeight="true" outlineLevel="0" collapsed="false">
      <c r="A36" s="24" t="s">
        <v>137</v>
      </c>
      <c r="B36" s="25" t="n">
        <f aca="false">SUM(B30:B35)</f>
        <v>1</v>
      </c>
    </row>
  </sheetData>
  <mergeCells count="4">
    <mergeCell ref="A1:H1"/>
    <mergeCell ref="A3:H3"/>
    <mergeCell ref="A16:H16"/>
    <mergeCell ref="A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W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23" min="3" style="0" width="9"/>
  </cols>
  <sheetData>
    <row r="1" customFormat="false" ht="27.75" hidden="false" customHeight="true" outlineLevel="0" collapsed="false">
      <c r="A1" s="15" t="s">
        <v>138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9.5" hidden="false" customHeight="true" outlineLevel="0" collapsed="false">
      <c r="A3" s="26" t="s">
        <v>139</v>
      </c>
      <c r="B3" s="26" t="s">
        <v>140</v>
      </c>
      <c r="C3" s="27" t="s">
        <v>141</v>
      </c>
      <c r="D3" s="27" t="s">
        <v>142</v>
      </c>
      <c r="E3" s="27" t="s">
        <v>143</v>
      </c>
      <c r="F3" s="27" t="s">
        <v>144</v>
      </c>
      <c r="G3" s="27" t="s">
        <v>145</v>
      </c>
      <c r="H3" s="27" t="s">
        <v>146</v>
      </c>
      <c r="I3" s="27" t="s">
        <v>147</v>
      </c>
      <c r="J3" s="27" t="s">
        <v>148</v>
      </c>
      <c r="K3" s="27" t="s">
        <v>149</v>
      </c>
      <c r="L3" s="27" t="s">
        <v>150</v>
      </c>
      <c r="M3" s="27" t="s">
        <v>151</v>
      </c>
      <c r="N3" s="27" t="s">
        <v>152</v>
      </c>
      <c r="O3" s="27" t="s">
        <v>153</v>
      </c>
      <c r="P3" s="27" t="s">
        <v>154</v>
      </c>
      <c r="Q3" s="27" t="s">
        <v>155</v>
      </c>
      <c r="R3" s="27" t="s">
        <v>156</v>
      </c>
      <c r="S3" s="27" t="s">
        <v>157</v>
      </c>
      <c r="T3" s="27" t="s">
        <v>158</v>
      </c>
      <c r="U3" s="27" t="s">
        <v>159</v>
      </c>
      <c r="V3" s="27" t="s">
        <v>160</v>
      </c>
      <c r="W3" s="27" t="s">
        <v>161</v>
      </c>
    </row>
    <row r="4" customFormat="false" ht="15" hidden="false" customHeight="true" outlineLevel="0" collapsed="false">
      <c r="A4" s="28" t="s">
        <v>162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customFormat="false" ht="16.5" hidden="false" customHeight="true" outlineLevel="0" collapsed="false">
      <c r="A5" s="18" t="s">
        <v>163</v>
      </c>
      <c r="B5" s="18" t="s">
        <v>164</v>
      </c>
      <c r="C5" s="29" t="n">
        <v>520</v>
      </c>
      <c r="D5" s="30" t="n">
        <f aca="false">C5*(1+Assumptions!$C$21)</f>
        <v>538.2</v>
      </c>
      <c r="E5" s="30" t="n">
        <f aca="false">D5*(1+Assumptions!$C$21)</f>
        <v>557.037</v>
      </c>
      <c r="F5" s="30" t="n">
        <f aca="false">E5*(1+Assumptions!$C$21)</f>
        <v>576.533295</v>
      </c>
      <c r="G5" s="30" t="n">
        <f aca="false">F5*(1+Assumptions!$C$21)</f>
        <v>596.711960325</v>
      </c>
      <c r="H5" s="30" t="n">
        <f aca="false">G5*(1+Assumptions!$C$21)</f>
        <v>617.596878936375</v>
      </c>
      <c r="I5" s="30" t="n">
        <f aca="false">H5*(1+Assumptions!$C$21)</f>
        <v>639.212769699148</v>
      </c>
      <c r="J5" s="30" t="n">
        <f aca="false">I5*(1+Assumptions!$C$21)</f>
        <v>661.585216638618</v>
      </c>
      <c r="K5" s="30" t="n">
        <f aca="false">J5*(1+Assumptions!$C$21)</f>
        <v>684.74069922097</v>
      </c>
      <c r="L5" s="30" t="n">
        <f aca="false">K5*(1+Assumptions!$C$21)</f>
        <v>708.706623693704</v>
      </c>
      <c r="M5" s="30" t="n">
        <f aca="false">L5*(1+Assumptions!$C$21)</f>
        <v>733.511355522983</v>
      </c>
      <c r="N5" s="30" t="n">
        <f aca="false">M5*(1+Assumptions!$C$21)</f>
        <v>759.184252966287</v>
      </c>
      <c r="O5" s="30" t="n">
        <f aca="false">N5*(1+Assumptions!$C$21)</f>
        <v>785.755701820107</v>
      </c>
      <c r="P5" s="30" t="n">
        <f aca="false">O5*(1+Assumptions!$C$21)</f>
        <v>813.257151383811</v>
      </c>
      <c r="Q5" s="30" t="n">
        <f aca="false">P5*(1+Assumptions!$C$21)</f>
        <v>841.721151682245</v>
      </c>
      <c r="R5" s="30" t="n">
        <f aca="false">Q5*(1+Assumptions!$C$21)</f>
        <v>871.181391991123</v>
      </c>
      <c r="S5" s="30" t="n">
        <f aca="false">R5*(1+Assumptions!$C$21)</f>
        <v>901.672740710812</v>
      </c>
      <c r="T5" s="30" t="n">
        <f aca="false">S5*(1+Assumptions!$C$21)</f>
        <v>933.231286635691</v>
      </c>
      <c r="U5" s="30" t="n">
        <f aca="false">T5*(1+Assumptions!$C$21)</f>
        <v>965.89438166794</v>
      </c>
      <c r="V5" s="30" t="n">
        <f aca="false">U5*(1+Assumptions!$C$21)</f>
        <v>999.700685026317</v>
      </c>
      <c r="W5" s="30" t="n">
        <f aca="false">V5*(1+Assumptions!$C$21)</f>
        <v>1034.69020900224</v>
      </c>
    </row>
    <row r="6" customFormat="false" ht="16.5" hidden="false" customHeight="true" outlineLevel="0" collapsed="false">
      <c r="A6" s="18" t="s">
        <v>165</v>
      </c>
      <c r="B6" s="18" t="s">
        <v>166</v>
      </c>
      <c r="C6" s="29" t="n">
        <v>1260</v>
      </c>
      <c r="D6" s="30" t="n">
        <f aca="false">C6*(1+Assumptions!$C$21)</f>
        <v>1304.1</v>
      </c>
      <c r="E6" s="30" t="n">
        <f aca="false">D6*(1+Assumptions!$C$21)</f>
        <v>1349.7435</v>
      </c>
      <c r="F6" s="30" t="n">
        <f aca="false">E6*(1+Assumptions!$C$21)</f>
        <v>1396.9845225</v>
      </c>
      <c r="G6" s="30" t="n">
        <f aca="false">F6*(1+Assumptions!$C$21)</f>
        <v>1445.8789807875</v>
      </c>
      <c r="H6" s="30" t="n">
        <f aca="false">G6*(1+Assumptions!$C$21)</f>
        <v>1496.48474511506</v>
      </c>
      <c r="I6" s="30" t="n">
        <f aca="false">H6*(1+Assumptions!$C$21)</f>
        <v>1548.86171119409</v>
      </c>
      <c r="J6" s="30" t="n">
        <f aca="false">I6*(1+Assumptions!$C$21)</f>
        <v>1603.07187108588</v>
      </c>
      <c r="K6" s="30" t="n">
        <f aca="false">J6*(1+Assumptions!$C$21)</f>
        <v>1659.17938657389</v>
      </c>
      <c r="L6" s="30" t="n">
        <f aca="false">K6*(1+Assumptions!$C$21)</f>
        <v>1717.25066510397</v>
      </c>
      <c r="M6" s="30" t="n">
        <f aca="false">L6*(1+Assumptions!$C$21)</f>
        <v>1777.35443838261</v>
      </c>
      <c r="N6" s="30" t="n">
        <f aca="false">M6*(1+Assumptions!$C$21)</f>
        <v>1839.561843726</v>
      </c>
      <c r="O6" s="30" t="n">
        <f aca="false">N6*(1+Assumptions!$C$21)</f>
        <v>1903.94650825641</v>
      </c>
      <c r="P6" s="30" t="n">
        <f aca="false">O6*(1+Assumptions!$C$21)</f>
        <v>1970.58463604539</v>
      </c>
      <c r="Q6" s="30" t="n">
        <f aca="false">P6*(1+Assumptions!$C$21)</f>
        <v>2039.55509830698</v>
      </c>
      <c r="R6" s="30" t="n">
        <f aca="false">Q6*(1+Assumptions!$C$21)</f>
        <v>2110.93952674772</v>
      </c>
      <c r="S6" s="30" t="n">
        <f aca="false">R6*(1+Assumptions!$C$21)</f>
        <v>2184.82241018389</v>
      </c>
      <c r="T6" s="30" t="n">
        <f aca="false">S6*(1+Assumptions!$C$21)</f>
        <v>2261.29119454033</v>
      </c>
      <c r="U6" s="30" t="n">
        <f aca="false">T6*(1+Assumptions!$C$21)</f>
        <v>2340.43638634924</v>
      </c>
      <c r="V6" s="30" t="n">
        <f aca="false">U6*(1+Assumptions!$C$21)</f>
        <v>2422.35165987146</v>
      </c>
      <c r="W6" s="30" t="n">
        <f aca="false">V6*(1+Assumptions!$C$21)</f>
        <v>2507.13396796696</v>
      </c>
    </row>
    <row r="7" customFormat="false" ht="16.5" hidden="false" customHeight="true" outlineLevel="0" collapsed="false">
      <c r="A7" s="18" t="s">
        <v>167</v>
      </c>
      <c r="B7" s="18" t="s">
        <v>168</v>
      </c>
      <c r="C7" s="29" t="n">
        <v>154.5</v>
      </c>
      <c r="D7" s="30" t="n">
        <f aca="false">C7*(1+Assumptions!$C$21)</f>
        <v>159.9075</v>
      </c>
      <c r="E7" s="30" t="n">
        <f aca="false">D7*(1+Assumptions!$C$21)</f>
        <v>165.5042625</v>
      </c>
      <c r="F7" s="30" t="n">
        <f aca="false">E7*(1+Assumptions!$C$21)</f>
        <v>171.2969116875</v>
      </c>
      <c r="G7" s="30" t="n">
        <f aca="false">F7*(1+Assumptions!$C$21)</f>
        <v>177.292303596562</v>
      </c>
      <c r="H7" s="30" t="n">
        <f aca="false">G7*(1+Assumptions!$C$21)</f>
        <v>183.497534222442</v>
      </c>
      <c r="I7" s="30" t="n">
        <f aca="false">H7*(1+Assumptions!$C$21)</f>
        <v>189.919947920228</v>
      </c>
      <c r="J7" s="30" t="n">
        <f aca="false">I7*(1+Assumptions!$C$21)</f>
        <v>196.567146097436</v>
      </c>
      <c r="K7" s="30" t="n">
        <f aca="false">J7*(1+Assumptions!$C$21)</f>
        <v>203.446996210846</v>
      </c>
      <c r="L7" s="30" t="n">
        <f aca="false">K7*(1+Assumptions!$C$21)</f>
        <v>210.567641078225</v>
      </c>
      <c r="M7" s="30" t="n">
        <f aca="false">L7*(1+Assumptions!$C$21)</f>
        <v>217.937508515963</v>
      </c>
      <c r="N7" s="30" t="n">
        <f aca="false">M7*(1+Assumptions!$C$21)</f>
        <v>225.565321314022</v>
      </c>
      <c r="O7" s="30" t="n">
        <f aca="false">N7*(1+Assumptions!$C$21)</f>
        <v>233.460107560013</v>
      </c>
      <c r="P7" s="30" t="n">
        <f aca="false">O7*(1+Assumptions!$C$21)</f>
        <v>241.631211324613</v>
      </c>
      <c r="Q7" s="30" t="n">
        <f aca="false">P7*(1+Assumptions!$C$21)</f>
        <v>250.088303720975</v>
      </c>
      <c r="R7" s="30" t="n">
        <f aca="false">Q7*(1+Assumptions!$C$21)</f>
        <v>258.841394351209</v>
      </c>
      <c r="S7" s="30" t="n">
        <f aca="false">R7*(1+Assumptions!$C$21)</f>
        <v>267.900843153501</v>
      </c>
      <c r="T7" s="30" t="n">
        <f aca="false">S7*(1+Assumptions!$C$21)</f>
        <v>277.277372663873</v>
      </c>
      <c r="U7" s="30" t="n">
        <f aca="false">T7*(1+Assumptions!$C$21)</f>
        <v>286.982080707109</v>
      </c>
      <c r="V7" s="30" t="n">
        <f aca="false">U7*(1+Assumptions!$C$21)</f>
        <v>297.026453531858</v>
      </c>
      <c r="W7" s="30" t="n">
        <f aca="false">V7*(1+Assumptions!$C$21)</f>
        <v>307.422379405473</v>
      </c>
    </row>
    <row r="8" customFormat="false" ht="16.5" hidden="false" customHeight="true" outlineLevel="0" collapsed="false">
      <c r="A8" s="18" t="s">
        <v>169</v>
      </c>
      <c r="B8" s="18" t="s">
        <v>168</v>
      </c>
      <c r="C8" s="29" t="n">
        <v>306</v>
      </c>
      <c r="D8" s="30" t="n">
        <f aca="false">C8*(1+Assumptions!$C$21)</f>
        <v>316.71</v>
      </c>
      <c r="E8" s="30" t="n">
        <f aca="false">D8*(1+Assumptions!$C$21)</f>
        <v>327.79485</v>
      </c>
      <c r="F8" s="30" t="n">
        <f aca="false">E8*(1+Assumptions!$C$21)</f>
        <v>339.26766975</v>
      </c>
      <c r="G8" s="30" t="n">
        <f aca="false">F8*(1+Assumptions!$C$21)</f>
        <v>351.14203819125</v>
      </c>
      <c r="H8" s="30" t="n">
        <f aca="false">G8*(1+Assumptions!$C$21)</f>
        <v>363.432009527944</v>
      </c>
      <c r="I8" s="30" t="n">
        <f aca="false">H8*(1+Assumptions!$C$21)</f>
        <v>376.152129861422</v>
      </c>
      <c r="J8" s="30" t="n">
        <f aca="false">I8*(1+Assumptions!$C$21)</f>
        <v>389.317454406571</v>
      </c>
      <c r="K8" s="30" t="n">
        <f aca="false">J8*(1+Assumptions!$C$21)</f>
        <v>402.943565310801</v>
      </c>
      <c r="L8" s="30" t="n">
        <f aca="false">K8*(1+Assumptions!$C$21)</f>
        <v>417.046590096679</v>
      </c>
      <c r="M8" s="30" t="n">
        <f aca="false">L8*(1+Assumptions!$C$21)</f>
        <v>431.643220750063</v>
      </c>
      <c r="N8" s="30" t="n">
        <f aca="false">M8*(1+Assumptions!$C$21)</f>
        <v>446.750733476315</v>
      </c>
      <c r="O8" s="30" t="n">
        <f aca="false">N8*(1+Assumptions!$C$21)</f>
        <v>462.387009147986</v>
      </c>
      <c r="P8" s="30" t="n">
        <f aca="false">O8*(1+Assumptions!$C$21)</f>
        <v>478.570554468166</v>
      </c>
      <c r="Q8" s="30" t="n">
        <f aca="false">P8*(1+Assumptions!$C$21)</f>
        <v>495.320523874551</v>
      </c>
      <c r="R8" s="30" t="n">
        <f aca="false">Q8*(1+Assumptions!$C$21)</f>
        <v>512.656742210161</v>
      </c>
      <c r="S8" s="30" t="n">
        <f aca="false">R8*(1+Assumptions!$C$21)</f>
        <v>530.599728187516</v>
      </c>
      <c r="T8" s="30" t="n">
        <f aca="false">S8*(1+Assumptions!$C$21)</f>
        <v>549.170718674079</v>
      </c>
      <c r="U8" s="30" t="n">
        <f aca="false">T8*(1+Assumptions!$C$21)</f>
        <v>568.391693827672</v>
      </c>
      <c r="V8" s="30" t="n">
        <f aca="false">U8*(1+Assumptions!$C$21)</f>
        <v>588.28540311164</v>
      </c>
      <c r="W8" s="30" t="n">
        <f aca="false">V8*(1+Assumptions!$C$21)</f>
        <v>608.875392220548</v>
      </c>
    </row>
    <row r="9" customFormat="false" ht="16.5" hidden="false" customHeight="true" outlineLevel="0" collapsed="false">
      <c r="A9" s="18" t="s">
        <v>170</v>
      </c>
      <c r="B9" s="18" t="s">
        <v>168</v>
      </c>
      <c r="C9" s="29" t="n">
        <v>226.6</v>
      </c>
      <c r="D9" s="30" t="n">
        <f aca="false">C9*(1+Assumptions!$C$21)</f>
        <v>234.531</v>
      </c>
      <c r="E9" s="30" t="n">
        <f aca="false">D9*(1+Assumptions!$C$21)</f>
        <v>242.739585</v>
      </c>
      <c r="F9" s="30" t="n">
        <f aca="false">E9*(1+Assumptions!$C$21)</f>
        <v>251.235470475</v>
      </c>
      <c r="G9" s="30" t="n">
        <f aca="false">F9*(1+Assumptions!$C$21)</f>
        <v>260.028711941625</v>
      </c>
      <c r="H9" s="30" t="n">
        <f aca="false">G9*(1+Assumptions!$C$21)</f>
        <v>269.129716859582</v>
      </c>
      <c r="I9" s="30" t="n">
        <f aca="false">H9*(1+Assumptions!$C$21)</f>
        <v>278.549256949667</v>
      </c>
      <c r="J9" s="30" t="n">
        <f aca="false">I9*(1+Assumptions!$C$21)</f>
        <v>288.298480942905</v>
      </c>
      <c r="K9" s="30" t="n">
        <f aca="false">J9*(1+Assumptions!$C$21)</f>
        <v>298.388927775907</v>
      </c>
      <c r="L9" s="30" t="n">
        <f aca="false">K9*(1+Assumptions!$C$21)</f>
        <v>308.832540248064</v>
      </c>
      <c r="M9" s="30" t="n">
        <f aca="false">L9*(1+Assumptions!$C$21)</f>
        <v>319.641679156746</v>
      </c>
      <c r="N9" s="30" t="n">
        <f aca="false">M9*(1+Assumptions!$C$21)</f>
        <v>330.829137927232</v>
      </c>
      <c r="O9" s="30" t="n">
        <f aca="false">N9*(1+Assumptions!$C$21)</f>
        <v>342.408157754685</v>
      </c>
      <c r="P9" s="30" t="n">
        <f aca="false">O9*(1+Assumptions!$C$21)</f>
        <v>354.392443276099</v>
      </c>
      <c r="Q9" s="30" t="n">
        <f aca="false">P9*(1+Assumptions!$C$21)</f>
        <v>366.796178790763</v>
      </c>
      <c r="R9" s="30" t="n">
        <f aca="false">Q9*(1+Assumptions!$C$21)</f>
        <v>379.634045048439</v>
      </c>
      <c r="S9" s="30" t="n">
        <f aca="false">R9*(1+Assumptions!$C$21)</f>
        <v>392.921236625135</v>
      </c>
      <c r="T9" s="30" t="n">
        <f aca="false">S9*(1+Assumptions!$C$21)</f>
        <v>406.673479907014</v>
      </c>
      <c r="U9" s="30" t="n">
        <f aca="false">T9*(1+Assumptions!$C$21)</f>
        <v>420.90705170376</v>
      </c>
      <c r="V9" s="30" t="n">
        <f aca="false">U9*(1+Assumptions!$C$21)</f>
        <v>435.638798513391</v>
      </c>
      <c r="W9" s="30" t="n">
        <f aca="false">V9*(1+Assumptions!$C$21)</f>
        <v>450.88615646136</v>
      </c>
    </row>
    <row r="10" customFormat="false" ht="18" hidden="false" customHeight="true" outlineLevel="0" collapsed="false">
      <c r="A10" s="24" t="s">
        <v>171</v>
      </c>
      <c r="C10" s="30" t="n">
        <f aca="false">SUM(C5:C9)</f>
        <v>2467.1</v>
      </c>
      <c r="D10" s="30" t="n">
        <f aca="false">SUM(D5:D9)</f>
        <v>2553.4485</v>
      </c>
      <c r="E10" s="30" t="n">
        <f aca="false">SUM(E5:E9)</f>
        <v>2642.8191975</v>
      </c>
      <c r="F10" s="30" t="n">
        <f aca="false">SUM(F5:F9)</f>
        <v>2735.3178694125</v>
      </c>
      <c r="G10" s="30" t="n">
        <f aca="false">SUM(G5:G9)</f>
        <v>2831.05399484194</v>
      </c>
      <c r="H10" s="30" t="n">
        <f aca="false">SUM(H5:H9)</f>
        <v>2930.1408846614</v>
      </c>
      <c r="I10" s="30" t="n">
        <f aca="false">SUM(I5:I9)</f>
        <v>3032.69581562455</v>
      </c>
      <c r="J10" s="30" t="n">
        <f aca="false">SUM(J5:J9)</f>
        <v>3138.84016917141</v>
      </c>
      <c r="K10" s="30" t="n">
        <f aca="false">SUM(K5:K9)</f>
        <v>3248.69957509241</v>
      </c>
      <c r="L10" s="30" t="n">
        <f aca="false">SUM(L5:L9)</f>
        <v>3362.40406022065</v>
      </c>
      <c r="M10" s="30" t="n">
        <f aca="false">SUM(M5:M9)</f>
        <v>3480.08820232837</v>
      </c>
      <c r="N10" s="30" t="n">
        <f aca="false">SUM(N5:N9)</f>
        <v>3601.89128940986</v>
      </c>
      <c r="O10" s="30" t="n">
        <f aca="false">SUM(O5:O9)</f>
        <v>3727.95748453921</v>
      </c>
      <c r="P10" s="30" t="n">
        <f aca="false">SUM(P5:P9)</f>
        <v>3858.43599649808</v>
      </c>
      <c r="Q10" s="30" t="n">
        <f aca="false">SUM(Q5:Q9)</f>
        <v>3993.48125637551</v>
      </c>
      <c r="R10" s="30" t="n">
        <f aca="false">SUM(R5:R9)</f>
        <v>4133.25310034865</v>
      </c>
      <c r="S10" s="30" t="n">
        <f aca="false">SUM(S5:S9)</f>
        <v>4277.91695886086</v>
      </c>
      <c r="T10" s="30" t="n">
        <f aca="false">SUM(T5:T9)</f>
        <v>4427.64405242098</v>
      </c>
      <c r="U10" s="30" t="n">
        <f aca="false">SUM(U5:U9)</f>
        <v>4582.61159425572</v>
      </c>
      <c r="V10" s="30" t="n">
        <f aca="false">SUM(V5:V9)</f>
        <v>4743.00300005467</v>
      </c>
      <c r="W10" s="30" t="n">
        <f aca="false">SUM(W5:W9)</f>
        <v>4909.00810505658</v>
      </c>
    </row>
    <row r="12" customFormat="false" ht="15" hidden="false" customHeight="true" outlineLevel="0" collapsed="false">
      <c r="A12" s="28" t="s">
        <v>172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</row>
    <row r="13" customFormat="false" ht="16.5" hidden="false" customHeight="true" outlineLevel="0" collapsed="false">
      <c r="A13" s="18" t="s">
        <v>173</v>
      </c>
      <c r="B13" s="18" t="s">
        <v>174</v>
      </c>
      <c r="C13" s="29" t="n">
        <v>280</v>
      </c>
      <c r="D13" s="30" t="n">
        <f aca="false">C13*(1+Assumptions!$C$23)</f>
        <v>291.2</v>
      </c>
      <c r="E13" s="30" t="n">
        <f aca="false">D13*(1+Assumptions!$C$23)</f>
        <v>302.848</v>
      </c>
      <c r="F13" s="30" t="n">
        <f aca="false">E13*(1+Assumptions!$C$23)</f>
        <v>314.96192</v>
      </c>
      <c r="G13" s="30" t="n">
        <f aca="false">F13*(1+Assumptions!$C$23)</f>
        <v>327.5603968</v>
      </c>
      <c r="H13" s="30" t="n">
        <f aca="false">G13*(1+Assumptions!$C$23)</f>
        <v>340.662812672</v>
      </c>
      <c r="I13" s="30" t="n">
        <f aca="false">H13*(1+Assumptions!$C$23)</f>
        <v>354.28932517888</v>
      </c>
      <c r="J13" s="30" t="n">
        <f aca="false">I13*(1+Assumptions!$C$23)</f>
        <v>368.460898186035</v>
      </c>
      <c r="K13" s="30" t="n">
        <f aca="false">J13*(1+Assumptions!$C$23)</f>
        <v>383.199334113477</v>
      </c>
      <c r="L13" s="30" t="n">
        <f aca="false">K13*(1+Assumptions!$C$23)</f>
        <v>398.527307478016</v>
      </c>
      <c r="M13" s="30" t="n">
        <f aca="false">L13*(1+Assumptions!$C$23)</f>
        <v>414.468399777136</v>
      </c>
      <c r="N13" s="30" t="n">
        <f aca="false">M13*(1+Assumptions!$C$23)</f>
        <v>431.047135768222</v>
      </c>
      <c r="O13" s="30" t="n">
        <f aca="false">N13*(1+Assumptions!$C$23)</f>
        <v>448.289021198951</v>
      </c>
      <c r="P13" s="30" t="n">
        <f aca="false">O13*(1+Assumptions!$C$23)</f>
        <v>466.220582046909</v>
      </c>
      <c r="Q13" s="30" t="n">
        <f aca="false">P13*(1+Assumptions!$C$23)</f>
        <v>484.869405328785</v>
      </c>
      <c r="R13" s="30" t="n">
        <f aca="false">Q13*(1+Assumptions!$C$23)</f>
        <v>504.264181541937</v>
      </c>
      <c r="S13" s="30" t="n">
        <f aca="false">R13*(1+Assumptions!$C$23)</f>
        <v>524.434748803614</v>
      </c>
      <c r="T13" s="30" t="n">
        <f aca="false">S13*(1+Assumptions!$C$23)</f>
        <v>545.412138755759</v>
      </c>
      <c r="U13" s="30" t="n">
        <f aca="false">T13*(1+Assumptions!$C$23)</f>
        <v>567.228624305989</v>
      </c>
      <c r="V13" s="30" t="n">
        <f aca="false">U13*(1+Assumptions!$C$23)</f>
        <v>589.917769278229</v>
      </c>
      <c r="W13" s="30" t="n">
        <f aca="false">V13*(1+Assumptions!$C$23)</f>
        <v>613.514480049358</v>
      </c>
    </row>
    <row r="14" customFormat="false" ht="16.5" hidden="false" customHeight="true" outlineLevel="0" collapsed="false">
      <c r="A14" s="18" t="s">
        <v>175</v>
      </c>
      <c r="B14" s="18" t="s">
        <v>174</v>
      </c>
      <c r="C14" s="29" t="n">
        <v>680</v>
      </c>
      <c r="D14" s="30" t="n">
        <f aca="false">C14*(1+Assumptions!$C$23)</f>
        <v>707.2</v>
      </c>
      <c r="E14" s="30" t="n">
        <f aca="false">D14*(1+Assumptions!$C$23)</f>
        <v>735.488</v>
      </c>
      <c r="F14" s="30" t="n">
        <f aca="false">E14*(1+Assumptions!$C$23)</f>
        <v>764.90752</v>
      </c>
      <c r="G14" s="30" t="n">
        <f aca="false">F14*(1+Assumptions!$C$23)</f>
        <v>795.5038208</v>
      </c>
      <c r="H14" s="30" t="n">
        <f aca="false">G14*(1+Assumptions!$C$23)</f>
        <v>827.323973632</v>
      </c>
      <c r="I14" s="30" t="n">
        <f aca="false">H14*(1+Assumptions!$C$23)</f>
        <v>860.41693257728</v>
      </c>
      <c r="J14" s="30" t="n">
        <f aca="false">I14*(1+Assumptions!$C$23)</f>
        <v>894.833609880372</v>
      </c>
      <c r="K14" s="30" t="n">
        <f aca="false">J14*(1+Assumptions!$C$23)</f>
        <v>930.626954275586</v>
      </c>
      <c r="L14" s="30" t="n">
        <f aca="false">K14*(1+Assumptions!$C$23)</f>
        <v>967.85203244661</v>
      </c>
      <c r="M14" s="30" t="n">
        <f aca="false">L14*(1+Assumptions!$C$23)</f>
        <v>1006.56611374447</v>
      </c>
      <c r="N14" s="30" t="n">
        <f aca="false">M14*(1+Assumptions!$C$23)</f>
        <v>1046.82875829425</v>
      </c>
      <c r="O14" s="30" t="n">
        <f aca="false">N14*(1+Assumptions!$C$23)</f>
        <v>1088.70190862602</v>
      </c>
      <c r="P14" s="30" t="n">
        <f aca="false">O14*(1+Assumptions!$C$23)</f>
        <v>1132.24998497106</v>
      </c>
      <c r="Q14" s="30" t="n">
        <f aca="false">P14*(1+Assumptions!$C$23)</f>
        <v>1177.53998436991</v>
      </c>
      <c r="R14" s="30" t="n">
        <f aca="false">Q14*(1+Assumptions!$C$23)</f>
        <v>1224.6415837447</v>
      </c>
      <c r="S14" s="30" t="n">
        <f aca="false">R14*(1+Assumptions!$C$23)</f>
        <v>1273.62724709449</v>
      </c>
      <c r="T14" s="30" t="n">
        <f aca="false">S14*(1+Assumptions!$C$23)</f>
        <v>1324.57233697827</v>
      </c>
      <c r="U14" s="30" t="n">
        <f aca="false">T14*(1+Assumptions!$C$23)</f>
        <v>1377.5552304574</v>
      </c>
      <c r="V14" s="30" t="n">
        <f aca="false">U14*(1+Assumptions!$C$23)</f>
        <v>1432.6574396757</v>
      </c>
      <c r="W14" s="30" t="n">
        <f aca="false">V14*(1+Assumptions!$C$23)</f>
        <v>1489.96373726273</v>
      </c>
    </row>
    <row r="15" customFormat="false" ht="16.5" hidden="false" customHeight="true" outlineLevel="0" collapsed="false">
      <c r="A15" s="18" t="s">
        <v>176</v>
      </c>
      <c r="B15" s="18" t="s">
        <v>174</v>
      </c>
      <c r="C15" s="29" t="n">
        <v>390</v>
      </c>
      <c r="D15" s="30" t="n">
        <f aca="false">C15*(1+Assumptions!$C$23)</f>
        <v>405.6</v>
      </c>
      <c r="E15" s="30" t="n">
        <f aca="false">D15*(1+Assumptions!$C$23)</f>
        <v>421.824</v>
      </c>
      <c r="F15" s="30" t="n">
        <f aca="false">E15*(1+Assumptions!$C$23)</f>
        <v>438.69696</v>
      </c>
      <c r="G15" s="30" t="n">
        <f aca="false">F15*(1+Assumptions!$C$23)</f>
        <v>456.2448384</v>
      </c>
      <c r="H15" s="30" t="n">
        <f aca="false">G15*(1+Assumptions!$C$23)</f>
        <v>474.494631936</v>
      </c>
      <c r="I15" s="30" t="n">
        <f aca="false">H15*(1+Assumptions!$C$23)</f>
        <v>493.47441721344</v>
      </c>
      <c r="J15" s="30" t="n">
        <f aca="false">I15*(1+Assumptions!$C$23)</f>
        <v>513.213393901978</v>
      </c>
      <c r="K15" s="30" t="n">
        <f aca="false">J15*(1+Assumptions!$C$23)</f>
        <v>533.741929658057</v>
      </c>
      <c r="L15" s="30" t="n">
        <f aca="false">K15*(1+Assumptions!$C$23)</f>
        <v>555.091606844379</v>
      </c>
      <c r="M15" s="30" t="n">
        <f aca="false">L15*(1+Assumptions!$C$23)</f>
        <v>577.295271118154</v>
      </c>
      <c r="N15" s="30" t="n">
        <f aca="false">M15*(1+Assumptions!$C$23)</f>
        <v>600.387081962881</v>
      </c>
      <c r="O15" s="30" t="n">
        <f aca="false">N15*(1+Assumptions!$C$23)</f>
        <v>624.402565241396</v>
      </c>
      <c r="P15" s="30" t="n">
        <f aca="false">O15*(1+Assumptions!$C$23)</f>
        <v>649.378667851052</v>
      </c>
      <c r="Q15" s="30" t="n">
        <f aca="false">P15*(1+Assumptions!$C$23)</f>
        <v>675.353814565094</v>
      </c>
      <c r="R15" s="30" t="n">
        <f aca="false">Q15*(1+Assumptions!$C$23)</f>
        <v>702.367967147698</v>
      </c>
      <c r="S15" s="30" t="n">
        <f aca="false">R15*(1+Assumptions!$C$23)</f>
        <v>730.462685833605</v>
      </c>
      <c r="T15" s="30" t="n">
        <f aca="false">S15*(1+Assumptions!$C$23)</f>
        <v>759.68119326695</v>
      </c>
      <c r="U15" s="30" t="n">
        <f aca="false">T15*(1+Assumptions!$C$23)</f>
        <v>790.068440997628</v>
      </c>
      <c r="V15" s="30" t="n">
        <f aca="false">U15*(1+Assumptions!$C$23)</f>
        <v>821.671178637533</v>
      </c>
      <c r="W15" s="30" t="n">
        <f aca="false">V15*(1+Assumptions!$C$23)</f>
        <v>854.538025783034</v>
      </c>
    </row>
    <row r="16" customFormat="false" ht="16.5" hidden="false" customHeight="true" outlineLevel="0" collapsed="false">
      <c r="A16" s="18" t="s">
        <v>177</v>
      </c>
      <c r="B16" s="18" t="s">
        <v>174</v>
      </c>
      <c r="C16" s="29" t="n">
        <v>120</v>
      </c>
      <c r="D16" s="30" t="n">
        <f aca="false">C16*(1+Assumptions!$C$23)</f>
        <v>124.8</v>
      </c>
      <c r="E16" s="30" t="n">
        <f aca="false">D16*(1+Assumptions!$C$23)</f>
        <v>129.792</v>
      </c>
      <c r="F16" s="30" t="n">
        <f aca="false">E16*(1+Assumptions!$C$23)</f>
        <v>134.98368</v>
      </c>
      <c r="G16" s="30" t="n">
        <f aca="false">F16*(1+Assumptions!$C$23)</f>
        <v>140.3830272</v>
      </c>
      <c r="H16" s="30" t="n">
        <f aca="false">G16*(1+Assumptions!$C$23)</f>
        <v>145.998348288</v>
      </c>
      <c r="I16" s="30" t="n">
        <f aca="false">H16*(1+Assumptions!$C$23)</f>
        <v>151.83828221952</v>
      </c>
      <c r="J16" s="30" t="n">
        <f aca="false">I16*(1+Assumptions!$C$23)</f>
        <v>157.911813508301</v>
      </c>
      <c r="K16" s="30" t="n">
        <f aca="false">J16*(1+Assumptions!$C$23)</f>
        <v>164.228286048633</v>
      </c>
      <c r="L16" s="30" t="n">
        <f aca="false">K16*(1+Assumptions!$C$23)</f>
        <v>170.797417490578</v>
      </c>
      <c r="M16" s="30" t="n">
        <f aca="false">L16*(1+Assumptions!$C$23)</f>
        <v>177.629314190201</v>
      </c>
      <c r="N16" s="30" t="n">
        <f aca="false">M16*(1+Assumptions!$C$23)</f>
        <v>184.734486757809</v>
      </c>
      <c r="O16" s="30" t="n">
        <f aca="false">N16*(1+Assumptions!$C$23)</f>
        <v>192.123866228122</v>
      </c>
      <c r="P16" s="30" t="n">
        <f aca="false">O16*(1+Assumptions!$C$23)</f>
        <v>199.808820877247</v>
      </c>
      <c r="Q16" s="30" t="n">
        <f aca="false">P16*(1+Assumptions!$C$23)</f>
        <v>207.801173712337</v>
      </c>
      <c r="R16" s="30" t="n">
        <f aca="false">Q16*(1+Assumptions!$C$23)</f>
        <v>216.11322066083</v>
      </c>
      <c r="S16" s="30" t="n">
        <f aca="false">R16*(1+Assumptions!$C$23)</f>
        <v>224.757749487263</v>
      </c>
      <c r="T16" s="30" t="n">
        <f aca="false">S16*(1+Assumptions!$C$23)</f>
        <v>233.748059466754</v>
      </c>
      <c r="U16" s="30" t="n">
        <f aca="false">T16*(1+Assumptions!$C$23)</f>
        <v>243.097981845424</v>
      </c>
      <c r="V16" s="30" t="n">
        <f aca="false">U16*(1+Assumptions!$C$23)</f>
        <v>252.821901119241</v>
      </c>
      <c r="W16" s="30" t="n">
        <f aca="false">V16*(1+Assumptions!$C$23)</f>
        <v>262.934777164011</v>
      </c>
    </row>
    <row r="17" customFormat="false" ht="16.5" hidden="false" customHeight="true" outlineLevel="0" collapsed="false">
      <c r="A17" s="18" t="s">
        <v>178</v>
      </c>
      <c r="B17" s="18" t="s">
        <v>174</v>
      </c>
      <c r="C17" s="29" t="n">
        <v>110</v>
      </c>
      <c r="D17" s="30" t="n">
        <f aca="false">C17*(1+Assumptions!$C$23)</f>
        <v>114.4</v>
      </c>
      <c r="E17" s="30" t="n">
        <f aca="false">D17*(1+Assumptions!$C$23)</f>
        <v>118.976</v>
      </c>
      <c r="F17" s="30" t="n">
        <f aca="false">E17*(1+Assumptions!$C$23)</f>
        <v>123.73504</v>
      </c>
      <c r="G17" s="30" t="n">
        <f aca="false">F17*(1+Assumptions!$C$23)</f>
        <v>128.6844416</v>
      </c>
      <c r="H17" s="30" t="n">
        <f aca="false">G17*(1+Assumptions!$C$23)</f>
        <v>133.831819264</v>
      </c>
      <c r="I17" s="30" t="n">
        <f aca="false">H17*(1+Assumptions!$C$23)</f>
        <v>139.18509203456</v>
      </c>
      <c r="J17" s="30" t="n">
        <f aca="false">I17*(1+Assumptions!$C$23)</f>
        <v>144.752495715942</v>
      </c>
      <c r="K17" s="30" t="n">
        <f aca="false">J17*(1+Assumptions!$C$23)</f>
        <v>150.54259554458</v>
      </c>
      <c r="L17" s="30" t="n">
        <f aca="false">K17*(1+Assumptions!$C$23)</f>
        <v>156.564299366363</v>
      </c>
      <c r="M17" s="30" t="n">
        <f aca="false">L17*(1+Assumptions!$C$23)</f>
        <v>162.826871341018</v>
      </c>
      <c r="N17" s="30" t="n">
        <f aca="false">M17*(1+Assumptions!$C$23)</f>
        <v>169.339946194659</v>
      </c>
      <c r="O17" s="30" t="n">
        <f aca="false">N17*(1+Assumptions!$C$23)</f>
        <v>176.113544042445</v>
      </c>
      <c r="P17" s="30" t="n">
        <f aca="false">O17*(1+Assumptions!$C$23)</f>
        <v>183.158085804143</v>
      </c>
      <c r="Q17" s="30" t="n">
        <f aca="false">P17*(1+Assumptions!$C$23)</f>
        <v>190.484409236309</v>
      </c>
      <c r="R17" s="30" t="n">
        <f aca="false">Q17*(1+Assumptions!$C$23)</f>
        <v>198.103785605761</v>
      </c>
      <c r="S17" s="30" t="n">
        <f aca="false">R17*(1+Assumptions!$C$23)</f>
        <v>206.027937029991</v>
      </c>
      <c r="T17" s="30" t="n">
        <f aca="false">S17*(1+Assumptions!$C$23)</f>
        <v>214.269054511191</v>
      </c>
      <c r="U17" s="30" t="n">
        <f aca="false">T17*(1+Assumptions!$C$23)</f>
        <v>222.839816691639</v>
      </c>
      <c r="V17" s="30" t="n">
        <f aca="false">U17*(1+Assumptions!$C$23)</f>
        <v>231.753409359304</v>
      </c>
      <c r="W17" s="30" t="n">
        <f aca="false">V17*(1+Assumptions!$C$23)</f>
        <v>241.023545733676</v>
      </c>
    </row>
    <row r="18" customFormat="false" ht="16.5" hidden="false" customHeight="true" outlineLevel="0" collapsed="false">
      <c r="A18" s="18" t="s">
        <v>179</v>
      </c>
      <c r="B18" s="18" t="s">
        <v>174</v>
      </c>
      <c r="C18" s="29" t="n">
        <v>55</v>
      </c>
      <c r="D18" s="30" t="n">
        <f aca="false">C18*(1+Assumptions!$C$23)</f>
        <v>57.2</v>
      </c>
      <c r="E18" s="30" t="n">
        <f aca="false">D18*(1+Assumptions!$C$23)</f>
        <v>59.488</v>
      </c>
      <c r="F18" s="30" t="n">
        <f aca="false">E18*(1+Assumptions!$C$23)</f>
        <v>61.86752</v>
      </c>
      <c r="G18" s="30" t="n">
        <f aca="false">F18*(1+Assumptions!$C$23)</f>
        <v>64.3422208</v>
      </c>
      <c r="H18" s="30" t="n">
        <f aca="false">G18*(1+Assumptions!$C$23)</f>
        <v>66.915909632</v>
      </c>
      <c r="I18" s="30" t="n">
        <f aca="false">H18*(1+Assumptions!$C$23)</f>
        <v>69.59254601728</v>
      </c>
      <c r="J18" s="30" t="n">
        <f aca="false">I18*(1+Assumptions!$C$23)</f>
        <v>72.3762478579712</v>
      </c>
      <c r="K18" s="30" t="n">
        <f aca="false">J18*(1+Assumptions!$C$23)</f>
        <v>75.2712977722901</v>
      </c>
      <c r="L18" s="30" t="n">
        <f aca="false">K18*(1+Assumptions!$C$23)</f>
        <v>78.2821496831817</v>
      </c>
      <c r="M18" s="30" t="n">
        <f aca="false">L18*(1+Assumptions!$C$23)</f>
        <v>81.413435670509</v>
      </c>
      <c r="N18" s="30" t="n">
        <f aca="false">M18*(1+Assumptions!$C$23)</f>
        <v>84.6699730973293</v>
      </c>
      <c r="O18" s="30" t="n">
        <f aca="false">N18*(1+Assumptions!$C$23)</f>
        <v>88.0567720212225</v>
      </c>
      <c r="P18" s="30" t="n">
        <f aca="false">O18*(1+Assumptions!$C$23)</f>
        <v>91.5790429020714</v>
      </c>
      <c r="Q18" s="30" t="n">
        <f aca="false">P18*(1+Assumptions!$C$23)</f>
        <v>95.2422046181543</v>
      </c>
      <c r="R18" s="30" t="n">
        <f aca="false">Q18*(1+Assumptions!$C$23)</f>
        <v>99.0518928028804</v>
      </c>
      <c r="S18" s="30" t="n">
        <f aca="false">R18*(1+Assumptions!$C$23)</f>
        <v>103.013968514996</v>
      </c>
      <c r="T18" s="30" t="n">
        <f aca="false">S18*(1+Assumptions!$C$23)</f>
        <v>107.134527255595</v>
      </c>
      <c r="U18" s="30" t="n">
        <f aca="false">T18*(1+Assumptions!$C$23)</f>
        <v>111.419908345819</v>
      </c>
      <c r="V18" s="30" t="n">
        <f aca="false">U18*(1+Assumptions!$C$23)</f>
        <v>115.876704679652</v>
      </c>
      <c r="W18" s="30" t="n">
        <f aca="false">V18*(1+Assumptions!$C$23)</f>
        <v>120.511772866838</v>
      </c>
    </row>
    <row r="19" customFormat="false" ht="18" hidden="false" customHeight="true" outlineLevel="0" collapsed="false">
      <c r="A19" s="24" t="s">
        <v>180</v>
      </c>
      <c r="C19" s="30" t="n">
        <f aca="false">SUM(C13:C18)</f>
        <v>1635</v>
      </c>
      <c r="D19" s="30" t="n">
        <f aca="false">SUM(D13:D18)</f>
        <v>1700.4</v>
      </c>
      <c r="E19" s="30" t="n">
        <f aca="false">SUM(E13:E18)</f>
        <v>1768.416</v>
      </c>
      <c r="F19" s="30" t="n">
        <f aca="false">SUM(F13:F18)</f>
        <v>1839.15264</v>
      </c>
      <c r="G19" s="30" t="n">
        <f aca="false">SUM(G13:G18)</f>
        <v>1912.7187456</v>
      </c>
      <c r="H19" s="30" t="n">
        <f aca="false">SUM(H13:H18)</f>
        <v>1989.227495424</v>
      </c>
      <c r="I19" s="30" t="n">
        <f aca="false">SUM(I13:I18)</f>
        <v>2068.79659524096</v>
      </c>
      <c r="J19" s="30" t="n">
        <f aca="false">SUM(J13:J18)</f>
        <v>2151.5484590506</v>
      </c>
      <c r="K19" s="30" t="n">
        <f aca="false">SUM(K13:K18)</f>
        <v>2237.61039741262</v>
      </c>
      <c r="L19" s="30" t="n">
        <f aca="false">SUM(L13:L18)</f>
        <v>2327.11481330913</v>
      </c>
      <c r="M19" s="30" t="n">
        <f aca="false">SUM(M13:M18)</f>
        <v>2420.19940584149</v>
      </c>
      <c r="N19" s="30" t="n">
        <f aca="false">SUM(N13:N18)</f>
        <v>2517.00738207515</v>
      </c>
      <c r="O19" s="30" t="n">
        <f aca="false">SUM(O13:O18)</f>
        <v>2617.68767735816</v>
      </c>
      <c r="P19" s="30" t="n">
        <f aca="false">SUM(P13:P18)</f>
        <v>2722.39518445249</v>
      </c>
      <c r="Q19" s="30" t="n">
        <f aca="false">SUM(Q13:Q18)</f>
        <v>2831.29099183059</v>
      </c>
      <c r="R19" s="30" t="n">
        <f aca="false">SUM(R13:R18)</f>
        <v>2944.54263150381</v>
      </c>
      <c r="S19" s="30" t="n">
        <f aca="false">SUM(S13:S18)</f>
        <v>3062.32433676396</v>
      </c>
      <c r="T19" s="30" t="n">
        <f aca="false">SUM(T13:T18)</f>
        <v>3184.81731023452</v>
      </c>
      <c r="U19" s="30" t="n">
        <f aca="false">SUM(U13:U18)</f>
        <v>3312.2100026439</v>
      </c>
      <c r="V19" s="30" t="n">
        <f aca="false">SUM(V13:V18)</f>
        <v>3444.69840274966</v>
      </c>
      <c r="W19" s="30" t="n">
        <f aca="false">SUM(W13:W18)</f>
        <v>3582.48633885964</v>
      </c>
    </row>
    <row r="21" customFormat="false" ht="15" hidden="false" customHeight="true" outlineLevel="0" collapsed="false">
      <c r="A21" s="28" t="s">
        <v>181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customFormat="false" ht="16.5" hidden="false" customHeight="true" outlineLevel="0" collapsed="false">
      <c r="A22" s="18" t="s">
        <v>182</v>
      </c>
      <c r="B22" s="18" t="s">
        <v>183</v>
      </c>
      <c r="C22" s="29" t="n">
        <v>62</v>
      </c>
      <c r="D22" s="30" t="n">
        <f aca="false">C22*(1+Assumptions!$C$27)</f>
        <v>62</v>
      </c>
      <c r="E22" s="30" t="n">
        <f aca="false">D22*(1+Assumptions!$C$27)</f>
        <v>62</v>
      </c>
      <c r="F22" s="30" t="n">
        <f aca="false">E22*(1+Assumptions!$C$27)</f>
        <v>62</v>
      </c>
      <c r="G22" s="30" t="n">
        <f aca="false">F22*(1+Assumptions!$C$27)</f>
        <v>62</v>
      </c>
      <c r="H22" s="30" t="n">
        <f aca="false">G22*(1+Assumptions!$C$27)</f>
        <v>62</v>
      </c>
      <c r="I22" s="30" t="n">
        <f aca="false">H22*(1+Assumptions!$C$27)</f>
        <v>62</v>
      </c>
      <c r="J22" s="30" t="n">
        <f aca="false">I22*(1+Assumptions!$C$27)</f>
        <v>62</v>
      </c>
      <c r="K22" s="30" t="n">
        <f aca="false">J22*(1+Assumptions!$C$27)</f>
        <v>62</v>
      </c>
      <c r="L22" s="30" t="n">
        <f aca="false">K22*(1+Assumptions!$C$27)</f>
        <v>62</v>
      </c>
      <c r="M22" s="30" t="n">
        <f aca="false">L22*(1+Assumptions!$C$27)</f>
        <v>62</v>
      </c>
      <c r="N22" s="30" t="n">
        <f aca="false">M22*(1+Assumptions!$C$27)</f>
        <v>62</v>
      </c>
      <c r="O22" s="30" t="n">
        <f aca="false">N22*(1+Assumptions!$C$27)</f>
        <v>62</v>
      </c>
      <c r="P22" s="30" t="n">
        <f aca="false">O22*(1+Assumptions!$C$27)</f>
        <v>62</v>
      </c>
      <c r="Q22" s="30" t="n">
        <f aca="false">P22*(1+Assumptions!$C$27)</f>
        <v>62</v>
      </c>
      <c r="R22" s="30" t="n">
        <f aca="false">Q22*(1+Assumptions!$C$27)</f>
        <v>62</v>
      </c>
      <c r="S22" s="30" t="n">
        <f aca="false">R22*(1+Assumptions!$C$27)</f>
        <v>62</v>
      </c>
      <c r="T22" s="30" t="n">
        <f aca="false">S22*(1+Assumptions!$C$27)</f>
        <v>62</v>
      </c>
      <c r="U22" s="30" t="n">
        <f aca="false">T22*(1+Assumptions!$C$27)</f>
        <v>62</v>
      </c>
      <c r="V22" s="30" t="n">
        <f aca="false">U22*(1+Assumptions!$C$27)</f>
        <v>62</v>
      </c>
      <c r="W22" s="30" t="n">
        <f aca="false">V22*(1+Assumptions!$C$27)</f>
        <v>62</v>
      </c>
    </row>
    <row r="23" customFormat="false" ht="16.5" hidden="false" customHeight="true" outlineLevel="0" collapsed="false">
      <c r="A23" s="18" t="s">
        <v>184</v>
      </c>
      <c r="B23" s="18" t="s">
        <v>185</v>
      </c>
      <c r="C23" s="29" t="n">
        <v>82</v>
      </c>
      <c r="D23" s="30" t="n">
        <f aca="false">C23*(1+Assumptions!$C$27)</f>
        <v>82</v>
      </c>
      <c r="E23" s="30" t="n">
        <f aca="false">D23*(1+Assumptions!$C$27)</f>
        <v>82</v>
      </c>
      <c r="F23" s="30" t="n">
        <f aca="false">E23*(1+Assumptions!$C$27)</f>
        <v>82</v>
      </c>
      <c r="G23" s="30" t="n">
        <f aca="false">F23*(1+Assumptions!$C$27)</f>
        <v>82</v>
      </c>
      <c r="H23" s="30" t="n">
        <f aca="false">G23*(1+Assumptions!$C$27)</f>
        <v>82</v>
      </c>
      <c r="I23" s="30" t="n">
        <f aca="false">H23*(1+Assumptions!$C$27)</f>
        <v>82</v>
      </c>
      <c r="J23" s="30" t="n">
        <f aca="false">I23*(1+Assumptions!$C$27)</f>
        <v>82</v>
      </c>
      <c r="K23" s="30" t="n">
        <f aca="false">J23*(1+Assumptions!$C$27)</f>
        <v>82</v>
      </c>
      <c r="L23" s="30" t="n">
        <f aca="false">K23*(1+Assumptions!$C$27)</f>
        <v>82</v>
      </c>
      <c r="M23" s="30" t="n">
        <f aca="false">L23*(1+Assumptions!$C$27)</f>
        <v>82</v>
      </c>
      <c r="N23" s="30" t="n">
        <f aca="false">M23*(1+Assumptions!$C$27)</f>
        <v>82</v>
      </c>
      <c r="O23" s="30" t="n">
        <f aca="false">N23*(1+Assumptions!$C$27)</f>
        <v>82</v>
      </c>
      <c r="P23" s="30" t="n">
        <f aca="false">O23*(1+Assumptions!$C$27)</f>
        <v>82</v>
      </c>
      <c r="Q23" s="30" t="n">
        <f aca="false">P23*(1+Assumptions!$C$27)</f>
        <v>82</v>
      </c>
      <c r="R23" s="30" t="n">
        <f aca="false">Q23*(1+Assumptions!$C$27)</f>
        <v>82</v>
      </c>
      <c r="S23" s="30" t="n">
        <f aca="false">R23*(1+Assumptions!$C$27)</f>
        <v>82</v>
      </c>
      <c r="T23" s="30" t="n">
        <f aca="false">S23*(1+Assumptions!$C$27)</f>
        <v>82</v>
      </c>
      <c r="U23" s="30" t="n">
        <f aca="false">T23*(1+Assumptions!$C$27)</f>
        <v>82</v>
      </c>
      <c r="V23" s="30" t="n">
        <f aca="false">U23*(1+Assumptions!$C$27)</f>
        <v>82</v>
      </c>
      <c r="W23" s="30" t="n">
        <f aca="false">V23*(1+Assumptions!$C$27)</f>
        <v>82</v>
      </c>
    </row>
    <row r="24" customFormat="false" ht="16.5" hidden="false" customHeight="true" outlineLevel="0" collapsed="false">
      <c r="A24" s="18" t="s">
        <v>186</v>
      </c>
      <c r="B24" s="18" t="s">
        <v>187</v>
      </c>
      <c r="C24" s="29" t="n">
        <v>47</v>
      </c>
      <c r="D24" s="30" t="n">
        <f aca="false">C24*(1+Assumptions!$C$27)</f>
        <v>47</v>
      </c>
      <c r="E24" s="30" t="n">
        <f aca="false">D24*(1+Assumptions!$C$27)</f>
        <v>47</v>
      </c>
      <c r="F24" s="30" t="n">
        <f aca="false">E24*(1+Assumptions!$C$27)</f>
        <v>47</v>
      </c>
      <c r="G24" s="30" t="n">
        <f aca="false">F24*(1+Assumptions!$C$27)</f>
        <v>47</v>
      </c>
      <c r="H24" s="30" t="n">
        <f aca="false">G24*(1+Assumptions!$C$27)</f>
        <v>47</v>
      </c>
      <c r="I24" s="30" t="n">
        <f aca="false">H24*(1+Assumptions!$C$27)</f>
        <v>47</v>
      </c>
      <c r="J24" s="30" t="n">
        <f aca="false">I24*(1+Assumptions!$C$27)</f>
        <v>47</v>
      </c>
      <c r="K24" s="30" t="n">
        <f aca="false">J24*(1+Assumptions!$C$27)</f>
        <v>47</v>
      </c>
      <c r="L24" s="30" t="n">
        <f aca="false">K24*(1+Assumptions!$C$27)</f>
        <v>47</v>
      </c>
      <c r="M24" s="30" t="n">
        <f aca="false">L24*(1+Assumptions!$C$27)</f>
        <v>47</v>
      </c>
      <c r="N24" s="30" t="n">
        <f aca="false">M24*(1+Assumptions!$C$27)</f>
        <v>47</v>
      </c>
      <c r="O24" s="30" t="n">
        <f aca="false">N24*(1+Assumptions!$C$27)</f>
        <v>47</v>
      </c>
      <c r="P24" s="30" t="n">
        <f aca="false">O24*(1+Assumptions!$C$27)</f>
        <v>47</v>
      </c>
      <c r="Q24" s="30" t="n">
        <f aca="false">P24*(1+Assumptions!$C$27)</f>
        <v>47</v>
      </c>
      <c r="R24" s="30" t="n">
        <f aca="false">Q24*(1+Assumptions!$C$27)</f>
        <v>47</v>
      </c>
      <c r="S24" s="30" t="n">
        <f aca="false">R24*(1+Assumptions!$C$27)</f>
        <v>47</v>
      </c>
      <c r="T24" s="30" t="n">
        <f aca="false">S24*(1+Assumptions!$C$27)</f>
        <v>47</v>
      </c>
      <c r="U24" s="30" t="n">
        <f aca="false">T24*(1+Assumptions!$C$27)</f>
        <v>47</v>
      </c>
      <c r="V24" s="30" t="n">
        <f aca="false">U24*(1+Assumptions!$C$27)</f>
        <v>47</v>
      </c>
      <c r="W24" s="30" t="n">
        <f aca="false">V24*(1+Assumptions!$C$27)</f>
        <v>47</v>
      </c>
    </row>
    <row r="25" customFormat="false" ht="16.5" hidden="false" customHeight="true" outlineLevel="0" collapsed="false">
      <c r="A25" s="18" t="s">
        <v>188</v>
      </c>
      <c r="B25" s="18" t="s">
        <v>189</v>
      </c>
      <c r="C25" s="29" t="n">
        <v>185</v>
      </c>
      <c r="D25" s="30" t="n">
        <f aca="false">C25*(1+Assumptions!$C$27)</f>
        <v>185</v>
      </c>
      <c r="E25" s="30" t="n">
        <f aca="false">D25*(1+Assumptions!$C$27)</f>
        <v>185</v>
      </c>
      <c r="F25" s="30" t="n">
        <f aca="false">E25*(1+Assumptions!$C$27)</f>
        <v>185</v>
      </c>
      <c r="G25" s="30" t="n">
        <f aca="false">F25*(1+Assumptions!$C$27)</f>
        <v>185</v>
      </c>
      <c r="H25" s="30" t="n">
        <f aca="false">G25*(1+Assumptions!$C$27)</f>
        <v>185</v>
      </c>
      <c r="I25" s="30" t="n">
        <f aca="false">H25*(1+Assumptions!$C$27)</f>
        <v>185</v>
      </c>
      <c r="J25" s="30" t="n">
        <f aca="false">I25*(1+Assumptions!$C$27)</f>
        <v>185</v>
      </c>
      <c r="K25" s="30" t="n">
        <f aca="false">J25*(1+Assumptions!$C$27)</f>
        <v>185</v>
      </c>
      <c r="L25" s="30" t="n">
        <f aca="false">K25*(1+Assumptions!$C$27)</f>
        <v>185</v>
      </c>
      <c r="M25" s="30" t="n">
        <f aca="false">L25*(1+Assumptions!$C$27)</f>
        <v>185</v>
      </c>
      <c r="N25" s="30" t="n">
        <f aca="false">M25*(1+Assumptions!$C$27)</f>
        <v>185</v>
      </c>
      <c r="O25" s="30" t="n">
        <f aca="false">N25*(1+Assumptions!$C$27)</f>
        <v>185</v>
      </c>
      <c r="P25" s="30" t="n">
        <f aca="false">O25*(1+Assumptions!$C$27)</f>
        <v>185</v>
      </c>
      <c r="Q25" s="30" t="n">
        <f aca="false">P25*(1+Assumptions!$C$27)</f>
        <v>185</v>
      </c>
      <c r="R25" s="30" t="n">
        <f aca="false">Q25*(1+Assumptions!$C$27)</f>
        <v>185</v>
      </c>
      <c r="S25" s="30" t="n">
        <f aca="false">R25*(1+Assumptions!$C$27)</f>
        <v>185</v>
      </c>
      <c r="T25" s="30" t="n">
        <f aca="false">S25*(1+Assumptions!$C$27)</f>
        <v>185</v>
      </c>
      <c r="U25" s="30" t="n">
        <f aca="false">T25*(1+Assumptions!$C$27)</f>
        <v>185</v>
      </c>
      <c r="V25" s="30" t="n">
        <f aca="false">U25*(1+Assumptions!$C$27)</f>
        <v>185</v>
      </c>
      <c r="W25" s="30" t="n">
        <f aca="false">V25*(1+Assumptions!$C$27)</f>
        <v>185</v>
      </c>
    </row>
    <row r="27" customFormat="false" ht="15" hidden="false" customHeight="true" outlineLevel="0" collapsed="false">
      <c r="A27" s="31" t="s">
        <v>190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customFormat="false" ht="16.5" hidden="false" customHeight="true" outlineLevel="0" collapsed="false">
      <c r="A28" s="24" t="s">
        <v>191</v>
      </c>
      <c r="B28" s="18" t="s">
        <v>174</v>
      </c>
      <c r="C28" s="30" t="n">
        <f aca="false">C19+C22+C23+C24</f>
        <v>1826</v>
      </c>
      <c r="D28" s="30" t="n">
        <f aca="false">D19+D22+D23+D24</f>
        <v>1891.4</v>
      </c>
      <c r="E28" s="30" t="n">
        <f aca="false">E19+E22+E23+E24</f>
        <v>1959.416</v>
      </c>
      <c r="F28" s="30" t="n">
        <f aca="false">F19+F22+F23+F24</f>
        <v>2030.15264</v>
      </c>
      <c r="G28" s="30" t="n">
        <f aca="false">G19+G22+G23+G24</f>
        <v>2103.7187456</v>
      </c>
      <c r="H28" s="30" t="n">
        <f aca="false">H19+H22+H23+H24</f>
        <v>2180.227495424</v>
      </c>
      <c r="I28" s="30" t="n">
        <f aca="false">I19+I22+I23+I24</f>
        <v>2259.79659524096</v>
      </c>
      <c r="J28" s="30" t="n">
        <f aca="false">J19+J22+J23+J24</f>
        <v>2342.5484590506</v>
      </c>
      <c r="K28" s="30" t="n">
        <f aca="false">K19+K22+K23+K24</f>
        <v>2428.61039741262</v>
      </c>
      <c r="L28" s="30" t="n">
        <f aca="false">L19+L22+L23+L24</f>
        <v>2518.11481330913</v>
      </c>
      <c r="M28" s="30" t="n">
        <f aca="false">M19+M22+M23+M24</f>
        <v>2611.19940584149</v>
      </c>
      <c r="N28" s="30" t="n">
        <f aca="false">N19+N22+N23+N24</f>
        <v>2708.00738207515</v>
      </c>
      <c r="O28" s="30" t="n">
        <f aca="false">O19+O22+O23+O24</f>
        <v>2808.68767735816</v>
      </c>
      <c r="P28" s="30" t="n">
        <f aca="false">P19+P22+P23+P24</f>
        <v>2913.39518445249</v>
      </c>
      <c r="Q28" s="30" t="n">
        <f aca="false">Q19+Q22+Q23+Q24</f>
        <v>3022.29099183059</v>
      </c>
      <c r="R28" s="30" t="n">
        <f aca="false">R19+R22+R23+R24</f>
        <v>3135.54263150381</v>
      </c>
      <c r="S28" s="30" t="n">
        <f aca="false">S19+S22+S23+S24</f>
        <v>3253.32433676396</v>
      </c>
      <c r="T28" s="30" t="n">
        <f aca="false">T19+T22+T23+T24</f>
        <v>3375.81731023452</v>
      </c>
      <c r="U28" s="30" t="n">
        <f aca="false">U19+U22+U23+U24</f>
        <v>3503.2100026439</v>
      </c>
      <c r="V28" s="30" t="n">
        <f aca="false">V19+V22+V23+V24</f>
        <v>3635.69840274966</v>
      </c>
      <c r="W28" s="30" t="n">
        <f aca="false">W19+W22+W23+W24</f>
        <v>3773.48633885964</v>
      </c>
    </row>
    <row r="29" customFormat="false" ht="16.5" hidden="false" customHeight="true" outlineLevel="0" collapsed="false">
      <c r="A29" s="24" t="s">
        <v>192</v>
      </c>
      <c r="B29" s="18" t="s">
        <v>174</v>
      </c>
      <c r="C29" s="30" t="n">
        <f aca="false">C28-C10</f>
        <v>-641.1</v>
      </c>
      <c r="D29" s="30" t="n">
        <f aca="false">D28-D10</f>
        <v>-662.0485</v>
      </c>
      <c r="E29" s="30" t="n">
        <f aca="false">E28-E10</f>
        <v>-683.403197499999</v>
      </c>
      <c r="F29" s="30" t="n">
        <f aca="false">F28-F10</f>
        <v>-705.165229412499</v>
      </c>
      <c r="G29" s="30" t="n">
        <f aca="false">G28-G10</f>
        <v>-727.335249241936</v>
      </c>
      <c r="H29" s="30" t="n">
        <f aca="false">H28-H10</f>
        <v>-749.913389237404</v>
      </c>
      <c r="I29" s="30" t="n">
        <f aca="false">I28-I10</f>
        <v>-772.899220383592</v>
      </c>
      <c r="J29" s="30" t="n">
        <f aca="false">J28-J10</f>
        <v>-796.291710120813</v>
      </c>
      <c r="K29" s="30" t="n">
        <f aca="false">K28-K10</f>
        <v>-820.089177679789</v>
      </c>
      <c r="L29" s="30" t="n">
        <f aca="false">L28-L10</f>
        <v>-844.289246911517</v>
      </c>
      <c r="M29" s="30" t="n">
        <f aca="false">M28-M10</f>
        <v>-868.888796486874</v>
      </c>
      <c r="N29" s="30" t="n">
        <f aca="false">N28-N10</f>
        <v>-893.883907334707</v>
      </c>
      <c r="O29" s="30" t="n">
        <f aca="false">O28-O10</f>
        <v>-919.269807181046</v>
      </c>
      <c r="P29" s="30" t="n">
        <f aca="false">P28-P10</f>
        <v>-945.040812045591</v>
      </c>
      <c r="Q29" s="30" t="n">
        <f aca="false">Q28-Q10</f>
        <v>-971.190264544924</v>
      </c>
      <c r="R29" s="30" t="n">
        <f aca="false">R28-R10</f>
        <v>-997.710468844843</v>
      </c>
      <c r="S29" s="30" t="n">
        <f aca="false">S28-S10</f>
        <v>-1024.59262209689</v>
      </c>
      <c r="T29" s="30" t="n">
        <f aca="false">T28-T10</f>
        <v>-1051.82674218646</v>
      </c>
      <c r="U29" s="30" t="n">
        <f aca="false">U28-U10</f>
        <v>-1079.40159161182</v>
      </c>
      <c r="V29" s="30" t="n">
        <f aca="false">V28-V10</f>
        <v>-1107.30459730501</v>
      </c>
      <c r="W29" s="30" t="n">
        <f aca="false">W28-W10</f>
        <v>-1135.52176619694</v>
      </c>
    </row>
    <row r="30" customFormat="false" ht="16.5" hidden="false" customHeight="true" outlineLevel="0" collapsed="false">
      <c r="A30" s="24" t="s">
        <v>193</v>
      </c>
      <c r="B30" s="18" t="s">
        <v>174</v>
      </c>
      <c r="C30" s="32" t="n">
        <f aca="false">1/(1+Assumptions!$C$9)^1</f>
        <v>0.958588957055215</v>
      </c>
      <c r="D30" s="32" t="n">
        <f aca="false">1/(1+Assumptions!$C$9)^2</f>
        <v>0.918892788588204</v>
      </c>
      <c r="E30" s="32" t="n">
        <f aca="false">1/(1+Assumptions!$C$9)^3</f>
        <v>0.880840479858325</v>
      </c>
      <c r="F30" s="32" t="n">
        <f aca="false">1/(1+Assumptions!$C$9)^4</f>
        <v>0.844363956919407</v>
      </c>
      <c r="G30" s="32" t="n">
        <f aca="false">1/(1+Assumptions!$C$9)^5</f>
        <v>0.809397964838388</v>
      </c>
      <c r="H30" s="32" t="n">
        <f aca="false">1/(1+Assumptions!$C$9)^6</f>
        <v>0.775879950957044</v>
      </c>
      <c r="I30" s="32" t="n">
        <f aca="false">1/(1+Assumptions!$C$9)^7</f>
        <v>0.743749952987964</v>
      </c>
      <c r="J30" s="32" t="n">
        <f aca="false">1/(1+Assumptions!$C$9)^8</f>
        <v>0.712950491744598</v>
      </c>
      <c r="K30" s="32" t="n">
        <f aca="false">1/(1+Assumptions!$C$9)^9</f>
        <v>0.683426468313456</v>
      </c>
      <c r="L30" s="32" t="n">
        <f aca="false">1/(1+Assumptions!$C$9)^10</f>
        <v>0.655125065484525</v>
      </c>
      <c r="M30" s="32" t="n">
        <f aca="false">1/(1+Assumptions!$C$9)^11</f>
        <v>0.62799565326354</v>
      </c>
      <c r="N30" s="32" t="n">
        <f aca="false">1/(1+Assumptions!$C$9)^12</f>
        <v>0.601989698297105</v>
      </c>
      <c r="O30" s="32" t="n">
        <f aca="false">1/(1+Assumptions!$C$9)^13</f>
        <v>0.577060677048605</v>
      </c>
      <c r="P30" s="32" t="n">
        <f aca="false">1/(1+Assumptions!$C$9)^14</f>
        <v>0.553163992569599</v>
      </c>
      <c r="Q30" s="32" t="n">
        <f aca="false">1/(1+Assumptions!$C$9)^15</f>
        <v>0.53025689471779</v>
      </c>
      <c r="R30" s="32" t="n">
        <f aca="false">1/(1+Assumptions!$C$9)^16</f>
        <v>0.508298403678864</v>
      </c>
      <c r="S30" s="32" t="n">
        <f aca="false">1/(1+Assumptions!$C$9)^17</f>
        <v>0.487249236655352</v>
      </c>
      <c r="T30" s="32" t="n">
        <f aca="false">1/(1+Assumptions!$C$9)^18</f>
        <v>0.467071737591404</v>
      </c>
      <c r="U30" s="32" t="n">
        <f aca="false">1/(1+Assumptions!$C$9)^19</f>
        <v>0.447729809807711</v>
      </c>
      <c r="V30" s="32" t="n">
        <f aca="false">1/(1+Assumptions!$C$9)^20</f>
        <v>0.429188851426103</v>
      </c>
      <c r="W30" s="32" t="n">
        <f aca="false">1/(1+Assumptions!$C$9)^21</f>
        <v>0.411415693468274</v>
      </c>
    </row>
    <row r="31" customFormat="false" ht="16.5" hidden="false" customHeight="true" outlineLevel="0" collapsed="false">
      <c r="A31" s="24" t="s">
        <v>194</v>
      </c>
      <c r="B31" s="18" t="s">
        <v>174</v>
      </c>
      <c r="C31" s="30" t="n">
        <f aca="false">C29*C30</f>
        <v>-614.551380368098</v>
      </c>
      <c r="D31" s="30" t="n">
        <f aca="false">D29*D30</f>
        <v>-608.351592345638</v>
      </c>
      <c r="E31" s="30" t="n">
        <f aca="false">E29*E30</f>
        <v>-601.969200422613</v>
      </c>
      <c r="F31" s="30" t="n">
        <f aca="false">F29*F30</f>
        <v>-595.416103388719</v>
      </c>
      <c r="G31" s="30" t="n">
        <f aca="false">G29*G30</f>
        <v>-588.703670491645</v>
      </c>
      <c r="H31" s="30" t="n">
        <f aca="false">H29*H30</f>
        <v>-581.842763663548</v>
      </c>
      <c r="I31" s="30" t="n">
        <f aca="false">I29*I30</f>
        <v>-574.843758824731</v>
      </c>
      <c r="J31" s="30" t="n">
        <f aca="false">J29*J30</f>
        <v>-567.71656630278</v>
      </c>
      <c r="K31" s="30" t="n">
        <f aca="false">K29*K30</f>
        <v>-560.470650403785</v>
      </c>
      <c r="L31" s="30" t="n">
        <f aca="false">L29*L30</f>
        <v>-553.115048170788</v>
      </c>
      <c r="M31" s="30" t="n">
        <f aca="false">M29*M30</f>
        <v>-545.658387363146</v>
      </c>
      <c r="N31" s="30" t="n">
        <f aca="false">N29*N30</f>
        <v>-538.108903689058</v>
      </c>
      <c r="O31" s="30" t="n">
        <f aca="false">O29*O30</f>
        <v>-530.474457322235</v>
      </c>
      <c r="P31" s="30" t="n">
        <f aca="false">P29*P30</f>
        <v>-522.762548732355</v>
      </c>
      <c r="Q31" s="30" t="n">
        <f aca="false">Q29*Q30</f>
        <v>-514.980333857741</v>
      </c>
      <c r="R31" s="30" t="n">
        <f aca="false">R29*R30</f>
        <v>-507.134638647524</v>
      </c>
      <c r="S31" s="30" t="n">
        <f aca="false">S29*S30</f>
        <v>-499.231972999417</v>
      </c>
      <c r="T31" s="30" t="n">
        <f aca="false">T29*T30</f>
        <v>-491.278544118137</v>
      </c>
      <c r="U31" s="30" t="n">
        <f aca="false">U29*U30</f>
        <v>-483.280269318499</v>
      </c>
      <c r="V31" s="30" t="n">
        <f aca="false">V29*V30</f>
        <v>-475.242788296181</v>
      </c>
      <c r="W31" s="30" t="n">
        <f aca="false">W29*W30</f>
        <v>-467.171474888232</v>
      </c>
    </row>
    <row r="32" customFormat="false" ht="16.5" hidden="false" customHeight="true" outlineLevel="0" collapsed="false">
      <c r="A32" s="24" t="s">
        <v>195</v>
      </c>
      <c r="B32" s="18" t="s">
        <v>174</v>
      </c>
      <c r="C32" s="30" t="n">
        <f aca="false">C31</f>
        <v>-614.551380368098</v>
      </c>
      <c r="D32" s="30" t="n">
        <f aca="false">C32+D31</f>
        <v>-1222.90297271374</v>
      </c>
      <c r="E32" s="30" t="n">
        <f aca="false">D32+E31</f>
        <v>-1824.87217313635</v>
      </c>
      <c r="F32" s="30" t="n">
        <f aca="false">E32+F31</f>
        <v>-2420.28827652507</v>
      </c>
      <c r="G32" s="30" t="n">
        <f aca="false">F32+G31</f>
        <v>-3008.99194701671</v>
      </c>
      <c r="H32" s="30" t="n">
        <f aca="false">G32+H31</f>
        <v>-3590.83471068026</v>
      </c>
      <c r="I32" s="30" t="n">
        <f aca="false">H32+I31</f>
        <v>-4165.67846950499</v>
      </c>
      <c r="J32" s="30" t="n">
        <f aca="false">I32+J31</f>
        <v>-4733.39503580777</v>
      </c>
      <c r="K32" s="30" t="n">
        <f aca="false">J32+K31</f>
        <v>-5293.86568621156</v>
      </c>
      <c r="L32" s="30" t="n">
        <f aca="false">K32+L31</f>
        <v>-5846.98073438234</v>
      </c>
      <c r="M32" s="30" t="n">
        <f aca="false">L32+M31</f>
        <v>-6392.63912174549</v>
      </c>
      <c r="N32" s="30" t="n">
        <f aca="false">M32+N31</f>
        <v>-6930.74802543455</v>
      </c>
      <c r="O32" s="30" t="n">
        <f aca="false">N32+O31</f>
        <v>-7461.22248275678</v>
      </c>
      <c r="P32" s="30" t="n">
        <f aca="false">O32+P31</f>
        <v>-7983.98503148914</v>
      </c>
      <c r="Q32" s="30" t="n">
        <f aca="false">P32+Q31</f>
        <v>-8498.96536534688</v>
      </c>
      <c r="R32" s="30" t="n">
        <f aca="false">Q32+R31</f>
        <v>-9006.1000039944</v>
      </c>
      <c r="S32" s="30" t="n">
        <f aca="false">R32+S31</f>
        <v>-9505.33197699382</v>
      </c>
      <c r="T32" s="30" t="n">
        <f aca="false">S32+T31</f>
        <v>-9996.61052111196</v>
      </c>
      <c r="U32" s="30" t="n">
        <f aca="false">T32+U31</f>
        <v>-10479.8907904305</v>
      </c>
      <c r="V32" s="30" t="n">
        <f aca="false">U32+V31</f>
        <v>-10955.1335787266</v>
      </c>
      <c r="W32" s="30" t="n">
        <f aca="false">V32+W31</f>
        <v>-11422.3050536149</v>
      </c>
    </row>
  </sheetData>
  <mergeCells count="5">
    <mergeCell ref="A1:N1"/>
    <mergeCell ref="A4:N4"/>
    <mergeCell ref="A12:N12"/>
    <mergeCell ref="A21:N21"/>
    <mergeCell ref="A27:N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W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23" min="3" style="0" width="9"/>
  </cols>
  <sheetData>
    <row r="1" customFormat="false" ht="27.75" hidden="false" customHeight="true" outlineLevel="0" collapsed="false">
      <c r="A1" s="15" t="s">
        <v>196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3" customFormat="false" ht="19.5" hidden="false" customHeight="true" outlineLevel="0" collapsed="false">
      <c r="A3" s="26" t="s">
        <v>197</v>
      </c>
      <c r="B3" s="26" t="s">
        <v>140</v>
      </c>
      <c r="C3" s="27" t="s">
        <v>141</v>
      </c>
      <c r="D3" s="27" t="s">
        <v>142</v>
      </c>
      <c r="E3" s="27" t="s">
        <v>143</v>
      </c>
      <c r="F3" s="27" t="s">
        <v>144</v>
      </c>
      <c r="G3" s="27" t="s">
        <v>145</v>
      </c>
      <c r="H3" s="27" t="s">
        <v>146</v>
      </c>
      <c r="I3" s="27" t="s">
        <v>147</v>
      </c>
      <c r="J3" s="27" t="s">
        <v>148</v>
      </c>
      <c r="K3" s="27" t="s">
        <v>149</v>
      </c>
      <c r="L3" s="27" t="s">
        <v>150</v>
      </c>
      <c r="M3" s="27" t="s">
        <v>151</v>
      </c>
      <c r="N3" s="27" t="s">
        <v>152</v>
      </c>
      <c r="O3" s="27" t="s">
        <v>153</v>
      </c>
      <c r="P3" s="27" t="s">
        <v>154</v>
      </c>
      <c r="Q3" s="27" t="s">
        <v>155</v>
      </c>
      <c r="R3" s="27" t="s">
        <v>156</v>
      </c>
      <c r="S3" s="27" t="s">
        <v>157</v>
      </c>
      <c r="T3" s="27" t="s">
        <v>158</v>
      </c>
      <c r="U3" s="27" t="s">
        <v>159</v>
      </c>
      <c r="V3" s="27" t="s">
        <v>160</v>
      </c>
      <c r="W3" s="27" t="s">
        <v>161</v>
      </c>
    </row>
    <row r="4" customFormat="false" ht="15" hidden="false" customHeight="true" outlineLevel="0" collapsed="false">
      <c r="A4" s="28" t="s">
        <v>198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customFormat="false" ht="16.5" hidden="false" customHeight="true" outlineLevel="0" collapsed="false">
      <c r="A5" s="18" t="s">
        <v>122</v>
      </c>
      <c r="B5" s="18" t="s">
        <v>174</v>
      </c>
      <c r="C5" s="29" t="n">
        <v>40000</v>
      </c>
      <c r="D5" s="30" t="n">
        <f aca="false">C5</f>
        <v>40000</v>
      </c>
      <c r="E5" s="30" t="n">
        <f aca="false">D5</f>
        <v>40000</v>
      </c>
      <c r="F5" s="30" t="n">
        <f aca="false">E5</f>
        <v>40000</v>
      </c>
      <c r="G5" s="30" t="n">
        <f aca="false">F5</f>
        <v>40000</v>
      </c>
      <c r="H5" s="30" t="n">
        <f aca="false">G5</f>
        <v>40000</v>
      </c>
      <c r="I5" s="30" t="n">
        <f aca="false">H5</f>
        <v>40000</v>
      </c>
      <c r="J5" s="30" t="n">
        <f aca="false">I5</f>
        <v>40000</v>
      </c>
      <c r="K5" s="30" t="n">
        <f aca="false">J5</f>
        <v>40000</v>
      </c>
      <c r="L5" s="30" t="n">
        <f aca="false">K5</f>
        <v>40000</v>
      </c>
      <c r="M5" s="30" t="n">
        <f aca="false">L5</f>
        <v>40000</v>
      </c>
      <c r="N5" s="30" t="n">
        <f aca="false">M5</f>
        <v>40000</v>
      </c>
      <c r="O5" s="30" t="n">
        <f aca="false">N5</f>
        <v>40000</v>
      </c>
      <c r="P5" s="30" t="n">
        <f aca="false">O5</f>
        <v>40000</v>
      </c>
      <c r="Q5" s="30" t="n">
        <f aca="false">P5</f>
        <v>40000</v>
      </c>
      <c r="R5" s="30" t="n">
        <f aca="false">Q5</f>
        <v>40000</v>
      </c>
      <c r="S5" s="30" t="n">
        <f aca="false">R5</f>
        <v>40000</v>
      </c>
      <c r="T5" s="30" t="n">
        <f aca="false">S5</f>
        <v>40000</v>
      </c>
      <c r="U5" s="30" t="n">
        <f aca="false">T5</f>
        <v>40000</v>
      </c>
      <c r="V5" s="30" t="n">
        <f aca="false">U5</f>
        <v>40000</v>
      </c>
      <c r="W5" s="30" t="n">
        <f aca="false">V5</f>
        <v>40000</v>
      </c>
    </row>
    <row r="6" customFormat="false" ht="16.5" hidden="false" customHeight="true" outlineLevel="0" collapsed="false">
      <c r="A6" s="18" t="s">
        <v>125</v>
      </c>
      <c r="B6" s="18" t="s">
        <v>174</v>
      </c>
      <c r="C6" s="29" t="n">
        <v>30000</v>
      </c>
      <c r="D6" s="30" t="n">
        <f aca="false">C6</f>
        <v>30000</v>
      </c>
      <c r="E6" s="30" t="n">
        <f aca="false">D6</f>
        <v>30000</v>
      </c>
      <c r="F6" s="30" t="n">
        <f aca="false">E6</f>
        <v>30000</v>
      </c>
      <c r="G6" s="30" t="n">
        <f aca="false">F6</f>
        <v>30000</v>
      </c>
      <c r="H6" s="30" t="n">
        <f aca="false">G6</f>
        <v>30000</v>
      </c>
      <c r="I6" s="30" t="n">
        <f aca="false">H6</f>
        <v>30000</v>
      </c>
      <c r="J6" s="30" t="n">
        <f aca="false">I6</f>
        <v>30000</v>
      </c>
      <c r="K6" s="30" t="n">
        <f aca="false">J6</f>
        <v>30000</v>
      </c>
      <c r="L6" s="30" t="n">
        <f aca="false">K6</f>
        <v>30000</v>
      </c>
      <c r="M6" s="30" t="n">
        <f aca="false">L6</f>
        <v>30000</v>
      </c>
      <c r="N6" s="30" t="n">
        <f aca="false">M6</f>
        <v>30000</v>
      </c>
      <c r="O6" s="30" t="n">
        <f aca="false">N6</f>
        <v>30000</v>
      </c>
      <c r="P6" s="30" t="n">
        <f aca="false">O6</f>
        <v>30000</v>
      </c>
      <c r="Q6" s="30" t="n">
        <f aca="false">P6</f>
        <v>30000</v>
      </c>
      <c r="R6" s="30" t="n">
        <f aca="false">Q6</f>
        <v>30000</v>
      </c>
      <c r="S6" s="30" t="n">
        <f aca="false">R6</f>
        <v>30000</v>
      </c>
      <c r="T6" s="30" t="n">
        <f aca="false">S6</f>
        <v>30000</v>
      </c>
      <c r="U6" s="30" t="n">
        <f aca="false">T6</f>
        <v>30000</v>
      </c>
      <c r="V6" s="30" t="n">
        <f aca="false">U6</f>
        <v>30000</v>
      </c>
      <c r="W6" s="30" t="n">
        <f aca="false">V6</f>
        <v>30000</v>
      </c>
    </row>
    <row r="7" customFormat="false" ht="16.5" hidden="false" customHeight="true" outlineLevel="0" collapsed="false">
      <c r="A7" s="18" t="s">
        <v>128</v>
      </c>
      <c r="B7" s="18" t="s">
        <v>174</v>
      </c>
      <c r="C7" s="29" t="n">
        <v>10000</v>
      </c>
      <c r="D7" s="30" t="n">
        <f aca="false">C7</f>
        <v>10000</v>
      </c>
      <c r="E7" s="30" t="n">
        <f aca="false">D7</f>
        <v>10000</v>
      </c>
      <c r="F7" s="30" t="n">
        <f aca="false">E7</f>
        <v>10000</v>
      </c>
      <c r="G7" s="30" t="n">
        <f aca="false">F7</f>
        <v>10000</v>
      </c>
      <c r="H7" s="30" t="n">
        <f aca="false">G7</f>
        <v>10000</v>
      </c>
      <c r="I7" s="30" t="n">
        <f aca="false">H7</f>
        <v>10000</v>
      </c>
      <c r="J7" s="30" t="n">
        <f aca="false">I7</f>
        <v>10000</v>
      </c>
      <c r="K7" s="30" t="n">
        <f aca="false">J7</f>
        <v>10000</v>
      </c>
      <c r="L7" s="30" t="n">
        <f aca="false">K7</f>
        <v>10000</v>
      </c>
      <c r="M7" s="30" t="n">
        <f aca="false">L7</f>
        <v>10000</v>
      </c>
      <c r="N7" s="30" t="n">
        <f aca="false">M7</f>
        <v>10000</v>
      </c>
      <c r="O7" s="30" t="n">
        <f aca="false">N7</f>
        <v>10000</v>
      </c>
      <c r="P7" s="30" t="n">
        <f aca="false">O7</f>
        <v>10000</v>
      </c>
      <c r="Q7" s="30" t="n">
        <f aca="false">P7</f>
        <v>10000</v>
      </c>
      <c r="R7" s="30" t="n">
        <f aca="false">Q7</f>
        <v>10000</v>
      </c>
      <c r="S7" s="30" t="n">
        <f aca="false">R7</f>
        <v>10000</v>
      </c>
      <c r="T7" s="30" t="n">
        <f aca="false">S7</f>
        <v>10000</v>
      </c>
      <c r="U7" s="30" t="n">
        <f aca="false">T7</f>
        <v>10000</v>
      </c>
      <c r="V7" s="30" t="n">
        <f aca="false">U7</f>
        <v>10000</v>
      </c>
      <c r="W7" s="30" t="n">
        <f aca="false">V7</f>
        <v>10000</v>
      </c>
    </row>
    <row r="8" customFormat="false" ht="16.5" hidden="false" customHeight="true" outlineLevel="0" collapsed="false">
      <c r="A8" s="18" t="s">
        <v>131</v>
      </c>
      <c r="B8" s="18" t="s">
        <v>174</v>
      </c>
      <c r="C8" s="29" t="n">
        <v>8000</v>
      </c>
      <c r="D8" s="30" t="n">
        <f aca="false">C8*(1+Assumptions!$C$14)</f>
        <v>8440</v>
      </c>
      <c r="E8" s="30" t="n">
        <f aca="false">D8*(1+Assumptions!$C$14)</f>
        <v>8904.2</v>
      </c>
      <c r="F8" s="30" t="n">
        <f aca="false">E8*(1+Assumptions!$C$14)</f>
        <v>9393.931</v>
      </c>
      <c r="G8" s="30" t="n">
        <f aca="false">F8*(1+Assumptions!$C$14)</f>
        <v>9910.597205</v>
      </c>
      <c r="H8" s="30" t="n">
        <f aca="false">G8*(1+Assumptions!$C$14)</f>
        <v>10455.680051275</v>
      </c>
      <c r="I8" s="30" t="n">
        <f aca="false">H8*(1+Assumptions!$C$14)</f>
        <v>11030.7424540951</v>
      </c>
      <c r="J8" s="30" t="n">
        <f aca="false">I8*(1+Assumptions!$C$14)</f>
        <v>11637.4332890704</v>
      </c>
      <c r="K8" s="30" t="n">
        <f aca="false">J8*(1+Assumptions!$C$14)</f>
        <v>12277.4921199692</v>
      </c>
      <c r="L8" s="30" t="n">
        <f aca="false">K8*(1+Assumptions!$C$14)</f>
        <v>12952.7541865675</v>
      </c>
      <c r="M8" s="30" t="n">
        <f aca="false">L8*(1+Assumptions!$C$14)</f>
        <v>13665.1556668287</v>
      </c>
      <c r="N8" s="30" t="n">
        <f aca="false">M8*(1+Assumptions!$C$14)</f>
        <v>14416.7392285043</v>
      </c>
      <c r="O8" s="30" t="n">
        <f aca="false">N8*(1+Assumptions!$C$14)</f>
        <v>15209.6598860721</v>
      </c>
      <c r="P8" s="30" t="n">
        <f aca="false">O8*(1+Assumptions!$C$14)</f>
        <v>16046.191179806</v>
      </c>
      <c r="Q8" s="30" t="n">
        <f aca="false">P8*(1+Assumptions!$C$14)</f>
        <v>16928.7316946953</v>
      </c>
      <c r="R8" s="30" t="n">
        <f aca="false">Q8*(1+Assumptions!$C$14)</f>
        <v>17859.8119379036</v>
      </c>
      <c r="S8" s="30" t="n">
        <f aca="false">R8*(1+Assumptions!$C$14)</f>
        <v>18842.1015944883</v>
      </c>
      <c r="T8" s="30" t="n">
        <f aca="false">S8*(1+Assumptions!$C$14)</f>
        <v>19878.4171821851</v>
      </c>
      <c r="U8" s="30" t="n">
        <f aca="false">T8*(1+Assumptions!$C$14)</f>
        <v>20971.7301272053</v>
      </c>
      <c r="V8" s="30" t="n">
        <f aca="false">U8*(1+Assumptions!$C$14)</f>
        <v>22125.1752842016</v>
      </c>
      <c r="W8" s="30" t="n">
        <f aca="false">V8*(1+Assumptions!$C$14)</f>
        <v>23342.0599248327</v>
      </c>
    </row>
    <row r="9" customFormat="false" ht="16.5" hidden="false" customHeight="true" outlineLevel="0" collapsed="false">
      <c r="A9" s="18" t="s">
        <v>133</v>
      </c>
      <c r="B9" s="18" t="s">
        <v>174</v>
      </c>
      <c r="C9" s="29" t="n">
        <v>5000</v>
      </c>
      <c r="D9" s="30" t="n">
        <f aca="false">C9*(1+Assumptions!$C$15)</f>
        <v>5000</v>
      </c>
      <c r="E9" s="30" t="n">
        <f aca="false">D9*(1+Assumptions!$C$15)</f>
        <v>5000</v>
      </c>
      <c r="F9" s="30" t="n">
        <f aca="false">E9*(1+Assumptions!$C$15)</f>
        <v>5000</v>
      </c>
      <c r="G9" s="30" t="n">
        <f aca="false">F9*(1+Assumptions!$C$15)</f>
        <v>5000</v>
      </c>
      <c r="H9" s="30" t="n">
        <f aca="false">G9*(1+Assumptions!$C$15)</f>
        <v>5000</v>
      </c>
      <c r="I9" s="30" t="n">
        <f aca="false">H9*(1+Assumptions!$C$15)</f>
        <v>5000</v>
      </c>
      <c r="J9" s="30" t="n">
        <f aca="false">I9*(1+Assumptions!$C$15)</f>
        <v>5000</v>
      </c>
      <c r="K9" s="30" t="n">
        <f aca="false">J9*(1+Assumptions!$C$15)</f>
        <v>5000</v>
      </c>
      <c r="L9" s="30" t="n">
        <f aca="false">K9*(1+Assumptions!$C$15)</f>
        <v>5000</v>
      </c>
      <c r="M9" s="30" t="n">
        <f aca="false">L9*(1+Assumptions!$C$15)</f>
        <v>5000</v>
      </c>
      <c r="N9" s="30" t="n">
        <f aca="false">M9*(1+Assumptions!$C$15)</f>
        <v>5000</v>
      </c>
      <c r="O9" s="30" t="n">
        <f aca="false">N9*(1+Assumptions!$C$15)</f>
        <v>5000</v>
      </c>
      <c r="P9" s="30" t="n">
        <f aca="false">O9*(1+Assumptions!$C$15)</f>
        <v>5000</v>
      </c>
      <c r="Q9" s="30" t="n">
        <f aca="false">P9*(1+Assumptions!$C$15)</f>
        <v>5000</v>
      </c>
      <c r="R9" s="30" t="n">
        <f aca="false">Q9*(1+Assumptions!$C$15)</f>
        <v>5000</v>
      </c>
      <c r="S9" s="30" t="n">
        <f aca="false">R9*(1+Assumptions!$C$15)</f>
        <v>5000</v>
      </c>
      <c r="T9" s="30" t="n">
        <f aca="false">S9*(1+Assumptions!$C$15)</f>
        <v>5000</v>
      </c>
      <c r="U9" s="30" t="n">
        <f aca="false">T9*(1+Assumptions!$C$15)</f>
        <v>5000</v>
      </c>
      <c r="V9" s="30" t="n">
        <f aca="false">U9*(1+Assumptions!$C$15)</f>
        <v>5000</v>
      </c>
      <c r="W9" s="30" t="n">
        <f aca="false">V9*(1+Assumptions!$C$15)</f>
        <v>5000</v>
      </c>
    </row>
    <row r="10" customFormat="false" ht="16.5" hidden="false" customHeight="true" outlineLevel="0" collapsed="false">
      <c r="A10" s="18" t="s">
        <v>135</v>
      </c>
      <c r="B10" s="18" t="s">
        <v>174</v>
      </c>
      <c r="C10" s="29" t="n">
        <v>7000</v>
      </c>
      <c r="D10" s="30" t="n">
        <f aca="false">C10*(1+Assumptions!$C$12)</f>
        <v>7266</v>
      </c>
      <c r="E10" s="30" t="n">
        <f aca="false">D10*(1+Assumptions!$C$12)</f>
        <v>7542.108</v>
      </c>
      <c r="F10" s="30" t="n">
        <f aca="false">E10*(1+Assumptions!$C$12)</f>
        <v>7828.708104</v>
      </c>
      <c r="G10" s="30" t="n">
        <f aca="false">F10*(1+Assumptions!$C$12)</f>
        <v>8126.199011952</v>
      </c>
      <c r="H10" s="30" t="n">
        <f aca="false">G10*(1+Assumptions!$C$12)</f>
        <v>8434.99457440618</v>
      </c>
      <c r="I10" s="30" t="n">
        <f aca="false">H10*(1+Assumptions!$C$12)</f>
        <v>8755.52436823361</v>
      </c>
      <c r="J10" s="30" t="n">
        <f aca="false">I10*(1+Assumptions!$C$12)</f>
        <v>9088.23429422649</v>
      </c>
      <c r="K10" s="30" t="n">
        <f aca="false">J10*(1+Assumptions!$C$12)</f>
        <v>9433.5871974071</v>
      </c>
      <c r="L10" s="30" t="n">
        <f aca="false">K10*(1+Assumptions!$C$12)</f>
        <v>9792.06351090857</v>
      </c>
      <c r="M10" s="30" t="n">
        <f aca="false">L10*(1+Assumptions!$C$12)</f>
        <v>10164.1619243231</v>
      </c>
      <c r="N10" s="30" t="n">
        <f aca="false">M10*(1+Assumptions!$C$12)</f>
        <v>10550.4000774474</v>
      </c>
      <c r="O10" s="30" t="n">
        <f aca="false">N10*(1+Assumptions!$C$12)</f>
        <v>10951.3152803904</v>
      </c>
      <c r="P10" s="30" t="n">
        <f aca="false">O10*(1+Assumptions!$C$12)</f>
        <v>11367.4652610452</v>
      </c>
      <c r="Q10" s="30" t="n">
        <f aca="false">P10*(1+Assumptions!$C$12)</f>
        <v>11799.4289409649</v>
      </c>
      <c r="R10" s="30" t="n">
        <f aca="false">Q10*(1+Assumptions!$C$12)</f>
        <v>12247.8072407216</v>
      </c>
      <c r="S10" s="30" t="n">
        <f aca="false">R10*(1+Assumptions!$C$12)</f>
        <v>12713.223915869</v>
      </c>
      <c r="T10" s="30" t="n">
        <f aca="false">S10*(1+Assumptions!$C$12)</f>
        <v>13196.326424672</v>
      </c>
      <c r="U10" s="30" t="n">
        <f aca="false">T10*(1+Assumptions!$C$12)</f>
        <v>13697.7868288096</v>
      </c>
      <c r="V10" s="30" t="n">
        <f aca="false">U10*(1+Assumptions!$C$12)</f>
        <v>14218.3027283043</v>
      </c>
      <c r="W10" s="30" t="n">
        <f aca="false">V10*(1+Assumptions!$C$12)</f>
        <v>14758.5982319799</v>
      </c>
    </row>
    <row r="11" customFormat="false" ht="18" hidden="false" customHeight="true" outlineLevel="0" collapsed="false">
      <c r="A11" s="24" t="s">
        <v>199</v>
      </c>
      <c r="B11" s="18" t="s">
        <v>174</v>
      </c>
      <c r="C11" s="30" t="n">
        <f aca="false">SUM(C5:C10)</f>
        <v>100000</v>
      </c>
      <c r="D11" s="30" t="n">
        <f aca="false">SUM(D5:D10)</f>
        <v>100706</v>
      </c>
      <c r="E11" s="30" t="n">
        <f aca="false">SUM(E5:E10)</f>
        <v>101446.308</v>
      </c>
      <c r="F11" s="30" t="n">
        <f aca="false">SUM(F5:F10)</f>
        <v>102222.639104</v>
      </c>
      <c r="G11" s="30" t="n">
        <f aca="false">SUM(G5:G10)</f>
        <v>103036.796216952</v>
      </c>
      <c r="H11" s="30" t="n">
        <f aca="false">SUM(H5:H10)</f>
        <v>103890.674625681</v>
      </c>
      <c r="I11" s="30" t="n">
        <f aca="false">SUM(I5:I10)</f>
        <v>104786.266822329</v>
      </c>
      <c r="J11" s="30" t="n">
        <f aca="false">SUM(J5:J10)</f>
        <v>105725.667583297</v>
      </c>
      <c r="K11" s="30" t="n">
        <f aca="false">SUM(K5:K10)</f>
        <v>106711.079317376</v>
      </c>
      <c r="L11" s="30" t="n">
        <f aca="false">SUM(L5:L10)</f>
        <v>107744.817697476</v>
      </c>
      <c r="M11" s="30" t="n">
        <f aca="false">SUM(M5:M10)</f>
        <v>108829.317591152</v>
      </c>
      <c r="N11" s="30" t="n">
        <f aca="false">SUM(N5:N10)</f>
        <v>109967.139305952</v>
      </c>
      <c r="O11" s="30" t="n">
        <f aca="false">SUM(O5:O10)</f>
        <v>111160.975166462</v>
      </c>
      <c r="P11" s="30" t="n">
        <f aca="false">SUM(P5:P10)</f>
        <v>112413.656440851</v>
      </c>
      <c r="Q11" s="30" t="n">
        <f aca="false">SUM(Q5:Q10)</f>
        <v>113728.16063566</v>
      </c>
      <c r="R11" s="30" t="n">
        <f aca="false">SUM(R5:R10)</f>
        <v>115107.619178625</v>
      </c>
      <c r="S11" s="30" t="n">
        <f aca="false">SUM(S5:S10)</f>
        <v>116555.325510357</v>
      </c>
      <c r="T11" s="30" t="n">
        <f aca="false">SUM(T5:T10)</f>
        <v>118074.743606857</v>
      </c>
      <c r="U11" s="30" t="n">
        <f aca="false">SUM(U5:U10)</f>
        <v>119669.516956015</v>
      </c>
      <c r="V11" s="30" t="n">
        <f aca="false">SUM(V5:V10)</f>
        <v>121343.478012506</v>
      </c>
      <c r="W11" s="30" t="n">
        <f aca="false">SUM(W5:W10)</f>
        <v>123100.658156813</v>
      </c>
    </row>
    <row r="13" customFormat="false" ht="15" hidden="false" customHeight="true" outlineLevel="0" collapsed="false">
      <c r="A13" s="28" t="s">
        <v>200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</row>
    <row r="14" customFormat="false" ht="16.5" hidden="false" customHeight="true" outlineLevel="0" collapsed="false">
      <c r="A14" s="18" t="s">
        <v>201</v>
      </c>
      <c r="B14" s="18" t="s">
        <v>174</v>
      </c>
      <c r="C14" s="30" t="n">
        <f aca="false">C5*0.0385</f>
        <v>1540</v>
      </c>
      <c r="D14" s="30" t="n">
        <f aca="false">D5*0.0385</f>
        <v>1540</v>
      </c>
      <c r="E14" s="30" t="n">
        <f aca="false">E5*0.0385</f>
        <v>1540</v>
      </c>
      <c r="F14" s="30" t="n">
        <f aca="false">F5*0.0385</f>
        <v>1540</v>
      </c>
      <c r="G14" s="30" t="n">
        <f aca="false">G5*0.0385</f>
        <v>1540</v>
      </c>
      <c r="H14" s="30" t="n">
        <f aca="false">H5*0.0385</f>
        <v>1540</v>
      </c>
      <c r="I14" s="30" t="n">
        <f aca="false">I5*0.0385</f>
        <v>1540</v>
      </c>
      <c r="J14" s="30" t="n">
        <f aca="false">J5*0.0385</f>
        <v>1540</v>
      </c>
      <c r="K14" s="30" t="n">
        <f aca="false">K5*0.0385</f>
        <v>1540</v>
      </c>
      <c r="L14" s="30" t="n">
        <f aca="false">L5*0.0385</f>
        <v>1540</v>
      </c>
      <c r="M14" s="30" t="n">
        <f aca="false">M5*0.0385</f>
        <v>1540</v>
      </c>
      <c r="N14" s="30" t="n">
        <f aca="false">N5*0.0385</f>
        <v>1540</v>
      </c>
      <c r="O14" s="30" t="n">
        <f aca="false">O5*0.0385</f>
        <v>1540</v>
      </c>
      <c r="P14" s="30" t="n">
        <f aca="false">P5*0.0385</f>
        <v>1540</v>
      </c>
      <c r="Q14" s="30" t="n">
        <f aca="false">Q5*0.0385</f>
        <v>1540</v>
      </c>
      <c r="R14" s="30" t="n">
        <f aca="false">R5*0.0385</f>
        <v>1540</v>
      </c>
      <c r="S14" s="30" t="n">
        <f aca="false">S5*0.0385</f>
        <v>1540</v>
      </c>
      <c r="T14" s="30" t="n">
        <f aca="false">T5*0.0385</f>
        <v>1540</v>
      </c>
      <c r="U14" s="30" t="n">
        <f aca="false">U5*0.0385</f>
        <v>1540</v>
      </c>
      <c r="V14" s="30" t="n">
        <f aca="false">V5*0.0385</f>
        <v>1540</v>
      </c>
      <c r="W14" s="30" t="n">
        <f aca="false">W5*0.0385</f>
        <v>1540</v>
      </c>
    </row>
    <row r="15" customFormat="false" ht="16.5" hidden="false" customHeight="true" outlineLevel="0" collapsed="false">
      <c r="A15" s="18" t="s">
        <v>202</v>
      </c>
      <c r="B15" s="18" t="s">
        <v>174</v>
      </c>
      <c r="C15" s="30" t="n">
        <f aca="false">C6*0.048</f>
        <v>1440</v>
      </c>
      <c r="D15" s="30" t="n">
        <f aca="false">D6*0.048</f>
        <v>1440</v>
      </c>
      <c r="E15" s="30" t="n">
        <f aca="false">E6*0.048</f>
        <v>1440</v>
      </c>
      <c r="F15" s="30" t="n">
        <f aca="false">F6*0.048</f>
        <v>1440</v>
      </c>
      <c r="G15" s="30" t="n">
        <f aca="false">G6*0.048</f>
        <v>1440</v>
      </c>
      <c r="H15" s="30" t="n">
        <f aca="false">H6*0.048</f>
        <v>1440</v>
      </c>
      <c r="I15" s="30" t="n">
        <f aca="false">I6*0.048</f>
        <v>1440</v>
      </c>
      <c r="J15" s="30" t="n">
        <f aca="false">J6*0.048</f>
        <v>1440</v>
      </c>
      <c r="K15" s="30" t="n">
        <f aca="false">K6*0.048</f>
        <v>1440</v>
      </c>
      <c r="L15" s="30" t="n">
        <f aca="false">L6*0.048</f>
        <v>1440</v>
      </c>
      <c r="M15" s="30" t="n">
        <f aca="false">M6*0.048</f>
        <v>1440</v>
      </c>
      <c r="N15" s="30" t="n">
        <f aca="false">N6*0.048</f>
        <v>1440</v>
      </c>
      <c r="O15" s="30" t="n">
        <f aca="false">O6*0.048</f>
        <v>1440</v>
      </c>
      <c r="P15" s="30" t="n">
        <f aca="false">P6*0.048</f>
        <v>1440</v>
      </c>
      <c r="Q15" s="30" t="n">
        <f aca="false">Q6*0.048</f>
        <v>1440</v>
      </c>
      <c r="R15" s="30" t="n">
        <f aca="false">R6*0.048</f>
        <v>1440</v>
      </c>
      <c r="S15" s="30" t="n">
        <f aca="false">S6*0.048</f>
        <v>1440</v>
      </c>
      <c r="T15" s="30" t="n">
        <f aca="false">T6*0.048</f>
        <v>1440</v>
      </c>
      <c r="U15" s="30" t="n">
        <f aca="false">U6*0.048</f>
        <v>1440</v>
      </c>
      <c r="V15" s="30" t="n">
        <f aca="false">V6*0.048</f>
        <v>1440</v>
      </c>
      <c r="W15" s="30" t="n">
        <f aca="false">W6*0.048</f>
        <v>1440</v>
      </c>
    </row>
    <row r="16" customFormat="false" ht="16.5" hidden="false" customHeight="true" outlineLevel="0" collapsed="false">
      <c r="A16" s="18" t="s">
        <v>203</v>
      </c>
      <c r="B16" s="18" t="s">
        <v>174</v>
      </c>
      <c r="C16" s="30" t="n">
        <f aca="false">C7*0.054</f>
        <v>540</v>
      </c>
      <c r="D16" s="30" t="n">
        <f aca="false">D7*0.054</f>
        <v>540</v>
      </c>
      <c r="E16" s="30" t="n">
        <f aca="false">E7*0.054</f>
        <v>540</v>
      </c>
      <c r="F16" s="30" t="n">
        <f aca="false">F7*0.054</f>
        <v>540</v>
      </c>
      <c r="G16" s="30" t="n">
        <f aca="false">G7*0.054</f>
        <v>540</v>
      </c>
      <c r="H16" s="30" t="n">
        <f aca="false">H7*0.054</f>
        <v>540</v>
      </c>
      <c r="I16" s="30" t="n">
        <f aca="false">I7*0.054</f>
        <v>540</v>
      </c>
      <c r="J16" s="30" t="n">
        <f aca="false">J7*0.054</f>
        <v>540</v>
      </c>
      <c r="K16" s="30" t="n">
        <f aca="false">K7*0.054</f>
        <v>540</v>
      </c>
      <c r="L16" s="30" t="n">
        <f aca="false">L7*0.054</f>
        <v>540</v>
      </c>
      <c r="M16" s="30" t="n">
        <f aca="false">M7*0.054</f>
        <v>540</v>
      </c>
      <c r="N16" s="30" t="n">
        <f aca="false">N7*0.054</f>
        <v>540</v>
      </c>
      <c r="O16" s="30" t="n">
        <f aca="false">O7*0.054</f>
        <v>540</v>
      </c>
      <c r="P16" s="30" t="n">
        <f aca="false">P7*0.054</f>
        <v>540</v>
      </c>
      <c r="Q16" s="30" t="n">
        <f aca="false">Q7*0.054</f>
        <v>540</v>
      </c>
      <c r="R16" s="30" t="n">
        <f aca="false">R7*0.054</f>
        <v>540</v>
      </c>
      <c r="S16" s="30" t="n">
        <f aca="false">S7*0.054</f>
        <v>540</v>
      </c>
      <c r="T16" s="30" t="n">
        <f aca="false">T7*0.054</f>
        <v>540</v>
      </c>
      <c r="U16" s="30" t="n">
        <f aca="false">U7*0.054</f>
        <v>540</v>
      </c>
      <c r="V16" s="30" t="n">
        <f aca="false">V7*0.054</f>
        <v>540</v>
      </c>
      <c r="W16" s="30" t="n">
        <f aca="false">W7*0.054</f>
        <v>540</v>
      </c>
    </row>
    <row r="17" customFormat="false" ht="16.5" hidden="false" customHeight="true" outlineLevel="0" collapsed="false">
      <c r="A17" s="18" t="s">
        <v>204</v>
      </c>
      <c r="B17" s="18" t="s">
        <v>174</v>
      </c>
      <c r="C17" s="30" t="n">
        <f aca="false">C8*0.07</f>
        <v>560</v>
      </c>
      <c r="D17" s="30" t="n">
        <f aca="false">D8*0.07</f>
        <v>590.8</v>
      </c>
      <c r="E17" s="30" t="n">
        <f aca="false">E8*0.07</f>
        <v>623.294</v>
      </c>
      <c r="F17" s="30" t="n">
        <f aca="false">F8*0.07</f>
        <v>657.57517</v>
      </c>
      <c r="G17" s="30" t="n">
        <f aca="false">G8*0.07</f>
        <v>693.74180435</v>
      </c>
      <c r="H17" s="30" t="n">
        <f aca="false">H8*0.07</f>
        <v>731.89760358925</v>
      </c>
      <c r="I17" s="30" t="n">
        <f aca="false">I8*0.07</f>
        <v>772.151971786659</v>
      </c>
      <c r="J17" s="30" t="n">
        <f aca="false">J8*0.07</f>
        <v>814.620330234925</v>
      </c>
      <c r="K17" s="30" t="n">
        <f aca="false">K8*0.07</f>
        <v>859.424448397846</v>
      </c>
      <c r="L17" s="30" t="n">
        <f aca="false">L8*0.07</f>
        <v>906.692793059727</v>
      </c>
      <c r="M17" s="30" t="n">
        <f aca="false">M8*0.07</f>
        <v>956.560896678012</v>
      </c>
      <c r="N17" s="30" t="n">
        <f aca="false">N8*0.07</f>
        <v>1009.1717459953</v>
      </c>
      <c r="O17" s="30" t="n">
        <f aca="false">O8*0.07</f>
        <v>1064.67619202504</v>
      </c>
      <c r="P17" s="30" t="n">
        <f aca="false">P8*0.07</f>
        <v>1123.23338258642</v>
      </c>
      <c r="Q17" s="30" t="n">
        <f aca="false">Q8*0.07</f>
        <v>1185.01121862867</v>
      </c>
      <c r="R17" s="30" t="n">
        <f aca="false">R8*0.07</f>
        <v>1250.18683565325</v>
      </c>
      <c r="S17" s="30" t="n">
        <f aca="false">S8*0.07</f>
        <v>1318.94711161418</v>
      </c>
      <c r="T17" s="30" t="n">
        <f aca="false">T8*0.07</f>
        <v>1391.48920275296</v>
      </c>
      <c r="U17" s="30" t="n">
        <f aca="false">U8*0.07</f>
        <v>1468.02110890437</v>
      </c>
      <c r="V17" s="30" t="n">
        <f aca="false">V8*0.07</f>
        <v>1548.76226989411</v>
      </c>
      <c r="W17" s="30" t="n">
        <f aca="false">W8*0.07</f>
        <v>1633.94419473829</v>
      </c>
    </row>
    <row r="18" customFormat="false" ht="16.5" hidden="false" customHeight="true" outlineLevel="0" collapsed="false">
      <c r="A18" s="18" t="s">
        <v>205</v>
      </c>
      <c r="B18" s="18" t="s">
        <v>174</v>
      </c>
      <c r="C18" s="30" t="n">
        <f aca="false">C9*0.055</f>
        <v>275</v>
      </c>
      <c r="D18" s="30" t="n">
        <f aca="false">D9*0.055</f>
        <v>275</v>
      </c>
      <c r="E18" s="30" t="n">
        <f aca="false">E9*0.055</f>
        <v>275</v>
      </c>
      <c r="F18" s="30" t="n">
        <f aca="false">F9*0.055</f>
        <v>275</v>
      </c>
      <c r="G18" s="30" t="n">
        <f aca="false">G9*0.055</f>
        <v>275</v>
      </c>
      <c r="H18" s="30" t="n">
        <f aca="false">H9*0.055</f>
        <v>275</v>
      </c>
      <c r="I18" s="30" t="n">
        <f aca="false">I9*0.055</f>
        <v>275</v>
      </c>
      <c r="J18" s="30" t="n">
        <f aca="false">J9*0.055</f>
        <v>275</v>
      </c>
      <c r="K18" s="30" t="n">
        <f aca="false">K9*0.055</f>
        <v>275</v>
      </c>
      <c r="L18" s="30" t="n">
        <f aca="false">L9*0.055</f>
        <v>275</v>
      </c>
      <c r="M18" s="30" t="n">
        <f aca="false">M9*0.055</f>
        <v>275</v>
      </c>
      <c r="N18" s="30" t="n">
        <f aca="false">N9*0.055</f>
        <v>275</v>
      </c>
      <c r="O18" s="30" t="n">
        <f aca="false">O9*0.055</f>
        <v>275</v>
      </c>
      <c r="P18" s="30" t="n">
        <f aca="false">P9*0.055</f>
        <v>275</v>
      </c>
      <c r="Q18" s="30" t="n">
        <f aca="false">Q9*0.055</f>
        <v>275</v>
      </c>
      <c r="R18" s="30" t="n">
        <f aca="false">R9*0.055</f>
        <v>275</v>
      </c>
      <c r="S18" s="30" t="n">
        <f aca="false">S9*0.055</f>
        <v>275</v>
      </c>
      <c r="T18" s="30" t="n">
        <f aca="false">T9*0.055</f>
        <v>275</v>
      </c>
      <c r="U18" s="30" t="n">
        <f aca="false">U9*0.055</f>
        <v>275</v>
      </c>
      <c r="V18" s="30" t="n">
        <f aca="false">V9*0.055</f>
        <v>275</v>
      </c>
      <c r="W18" s="30" t="n">
        <f aca="false">W9*0.055</f>
        <v>275</v>
      </c>
    </row>
    <row r="19" customFormat="false" ht="16.5" hidden="false" customHeight="true" outlineLevel="0" collapsed="false">
      <c r="A19" s="18" t="s">
        <v>206</v>
      </c>
      <c r="B19" s="18" t="s">
        <v>174</v>
      </c>
      <c r="C19" s="30" t="n">
        <f aca="false">C10*0.051</f>
        <v>357</v>
      </c>
      <c r="D19" s="30" t="n">
        <f aca="false">D10*0.051</f>
        <v>370.566</v>
      </c>
      <c r="E19" s="30" t="n">
        <f aca="false">E10*0.051</f>
        <v>384.647508</v>
      </c>
      <c r="F19" s="30" t="n">
        <f aca="false">F10*0.051</f>
        <v>399.264113304</v>
      </c>
      <c r="G19" s="30" t="n">
        <f aca="false">G10*0.051</f>
        <v>414.436149609552</v>
      </c>
      <c r="H19" s="30" t="n">
        <f aca="false">H10*0.051</f>
        <v>430.184723294715</v>
      </c>
      <c r="I19" s="30" t="n">
        <f aca="false">I10*0.051</f>
        <v>446.531742779914</v>
      </c>
      <c r="J19" s="30" t="n">
        <f aca="false">J10*0.051</f>
        <v>463.499949005551</v>
      </c>
      <c r="K19" s="30" t="n">
        <f aca="false">K10*0.051</f>
        <v>481.112947067762</v>
      </c>
      <c r="L19" s="30" t="n">
        <f aca="false">L10*0.051</f>
        <v>499.395239056337</v>
      </c>
      <c r="M19" s="30" t="n">
        <f aca="false">M10*0.051</f>
        <v>518.372258140478</v>
      </c>
      <c r="N19" s="30" t="n">
        <f aca="false">N10*0.051</f>
        <v>538.070403949816</v>
      </c>
      <c r="O19" s="30" t="n">
        <f aca="false">O10*0.051</f>
        <v>558.517079299909</v>
      </c>
      <c r="P19" s="30" t="n">
        <f aca="false">P10*0.051</f>
        <v>579.740728313305</v>
      </c>
      <c r="Q19" s="30" t="n">
        <f aca="false">Q10*0.051</f>
        <v>601.770875989211</v>
      </c>
      <c r="R19" s="30" t="n">
        <f aca="false">R10*0.051</f>
        <v>624.638169276801</v>
      </c>
      <c r="S19" s="30" t="n">
        <f aca="false">S10*0.051</f>
        <v>648.374419709319</v>
      </c>
      <c r="T19" s="30" t="n">
        <f aca="false">T10*0.051</f>
        <v>673.012647658274</v>
      </c>
      <c r="U19" s="30" t="n">
        <f aca="false">U10*0.051</f>
        <v>698.587128269288</v>
      </c>
      <c r="V19" s="30" t="n">
        <f aca="false">V10*0.051</f>
        <v>725.133439143521</v>
      </c>
      <c r="W19" s="30" t="n">
        <f aca="false">W10*0.051</f>
        <v>752.688509830975</v>
      </c>
    </row>
    <row r="20" customFormat="false" ht="18" hidden="false" customHeight="true" outlineLevel="0" collapsed="false">
      <c r="A20" s="24" t="s">
        <v>207</v>
      </c>
      <c r="B20" s="18" t="s">
        <v>174</v>
      </c>
      <c r="C20" s="30" t="n">
        <f aca="false">SUM(C14:C19)</f>
        <v>4712</v>
      </c>
      <c r="D20" s="30" t="n">
        <f aca="false">SUM(D14:D19)</f>
        <v>4756.366</v>
      </c>
      <c r="E20" s="30" t="n">
        <f aca="false">SUM(E14:E19)</f>
        <v>4802.941508</v>
      </c>
      <c r="F20" s="30" t="n">
        <f aca="false">SUM(F14:F19)</f>
        <v>4851.839283304</v>
      </c>
      <c r="G20" s="30" t="n">
        <f aca="false">SUM(G14:G19)</f>
        <v>4903.17795395955</v>
      </c>
      <c r="H20" s="30" t="n">
        <f aca="false">SUM(H14:H19)</f>
        <v>4957.08232688397</v>
      </c>
      <c r="I20" s="30" t="n">
        <f aca="false">SUM(I14:I19)</f>
        <v>5013.68371456657</v>
      </c>
      <c r="J20" s="30" t="n">
        <f aca="false">SUM(J14:J19)</f>
        <v>5073.12027924048</v>
      </c>
      <c r="K20" s="30" t="n">
        <f aca="false">SUM(K14:K19)</f>
        <v>5135.53739546561</v>
      </c>
      <c r="L20" s="30" t="n">
        <f aca="false">SUM(L14:L19)</f>
        <v>5201.08803211606</v>
      </c>
      <c r="M20" s="30" t="n">
        <f aca="false">SUM(M14:M19)</f>
        <v>5269.93315481849</v>
      </c>
      <c r="N20" s="30" t="n">
        <f aca="false">SUM(N14:N19)</f>
        <v>5342.24214994512</v>
      </c>
      <c r="O20" s="30" t="n">
        <f aca="false">SUM(O14:O19)</f>
        <v>5418.19327132495</v>
      </c>
      <c r="P20" s="30" t="n">
        <f aca="false">SUM(P14:P19)</f>
        <v>5497.97411089973</v>
      </c>
      <c r="Q20" s="30" t="n">
        <f aca="false">SUM(Q14:Q19)</f>
        <v>5581.78209461789</v>
      </c>
      <c r="R20" s="30" t="n">
        <f aca="false">SUM(R14:R19)</f>
        <v>5669.82500493005</v>
      </c>
      <c r="S20" s="30" t="n">
        <f aca="false">SUM(S14:S19)</f>
        <v>5762.3215313235</v>
      </c>
      <c r="T20" s="30" t="n">
        <f aca="false">SUM(T14:T19)</f>
        <v>5859.50185041123</v>
      </c>
      <c r="U20" s="30" t="n">
        <f aca="false">SUM(U14:U19)</f>
        <v>5961.60823717366</v>
      </c>
      <c r="V20" s="30" t="n">
        <f aca="false">SUM(V14:V19)</f>
        <v>6068.89570903763</v>
      </c>
      <c r="W20" s="30" t="n">
        <f aca="false">SUM(W14:W19)</f>
        <v>6181.63270456926</v>
      </c>
    </row>
    <row r="22" customFormat="false" ht="15" hidden="false" customHeight="true" outlineLevel="0" collapsed="false">
      <c r="A22" s="31" t="s">
        <v>208</v>
      </c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</row>
    <row r="23" customFormat="false" ht="16.5" hidden="false" customHeight="true" outlineLevel="0" collapsed="false">
      <c r="A23" s="24" t="s">
        <v>209</v>
      </c>
      <c r="B23" s="18" t="s">
        <v>174</v>
      </c>
      <c r="C23" s="33" t="n">
        <f aca="false">C20</f>
        <v>4712</v>
      </c>
      <c r="D23" s="33" t="n">
        <f aca="false">D20</f>
        <v>4756.366</v>
      </c>
      <c r="E23" s="33" t="n">
        <f aca="false">E20</f>
        <v>4802.941508</v>
      </c>
      <c r="F23" s="33" t="n">
        <f aca="false">F20</f>
        <v>4851.839283304</v>
      </c>
      <c r="G23" s="33" t="n">
        <f aca="false">G20</f>
        <v>4903.17795395955</v>
      </c>
      <c r="H23" s="33" t="n">
        <f aca="false">H20</f>
        <v>4957.08232688397</v>
      </c>
      <c r="I23" s="33" t="n">
        <f aca="false">I20</f>
        <v>5013.68371456657</v>
      </c>
      <c r="J23" s="33" t="n">
        <f aca="false">J20</f>
        <v>5073.12027924048</v>
      </c>
      <c r="K23" s="33" t="n">
        <f aca="false">K20</f>
        <v>5135.53739546561</v>
      </c>
      <c r="L23" s="33" t="n">
        <f aca="false">L20</f>
        <v>5201.08803211606</v>
      </c>
      <c r="M23" s="33" t="n">
        <f aca="false">M20</f>
        <v>5269.93315481849</v>
      </c>
      <c r="N23" s="33" t="n">
        <f aca="false">N20</f>
        <v>5342.24214994512</v>
      </c>
      <c r="O23" s="33" t="n">
        <f aca="false">O20</f>
        <v>5418.19327132495</v>
      </c>
      <c r="P23" s="33" t="n">
        <f aca="false">P20</f>
        <v>5497.97411089973</v>
      </c>
      <c r="Q23" s="33" t="n">
        <f aca="false">Q20</f>
        <v>5581.78209461789</v>
      </c>
      <c r="R23" s="33" t="n">
        <f aca="false">R20</f>
        <v>5669.82500493005</v>
      </c>
      <c r="S23" s="33" t="n">
        <f aca="false">S20</f>
        <v>5762.3215313235</v>
      </c>
      <c r="T23" s="33" t="n">
        <f aca="false">T20</f>
        <v>5859.50185041123</v>
      </c>
      <c r="U23" s="33" t="n">
        <f aca="false">U20</f>
        <v>5961.60823717366</v>
      </c>
      <c r="V23" s="33" t="n">
        <f aca="false">V20</f>
        <v>6068.89570903763</v>
      </c>
      <c r="W23" s="33" t="n">
        <f aca="false">W20</f>
        <v>6181.63270456926</v>
      </c>
    </row>
    <row r="24" customFormat="false" ht="16.5" hidden="false" customHeight="true" outlineLevel="0" collapsed="false">
      <c r="A24" s="24" t="s">
        <v>210</v>
      </c>
      <c r="B24" s="18" t="s">
        <v>174</v>
      </c>
      <c r="C24" s="33" t="n">
        <f aca="false">Liabilities!C29</f>
        <v>-641.1</v>
      </c>
      <c r="D24" s="33" t="n">
        <f aca="false">Liabilities!D29</f>
        <v>-662.0485</v>
      </c>
      <c r="E24" s="33" t="n">
        <f aca="false">Liabilities!E29</f>
        <v>-683.403197499999</v>
      </c>
      <c r="F24" s="33" t="n">
        <f aca="false">Liabilities!F29</f>
        <v>-705.165229412499</v>
      </c>
      <c r="G24" s="33" t="n">
        <f aca="false">Liabilities!G29</f>
        <v>-727.335249241936</v>
      </c>
      <c r="H24" s="33" t="n">
        <f aca="false">Liabilities!H29</f>
        <v>-749.913389237404</v>
      </c>
      <c r="I24" s="33" t="n">
        <f aca="false">Liabilities!I29</f>
        <v>-772.899220383592</v>
      </c>
      <c r="J24" s="33" t="n">
        <f aca="false">Liabilities!J29</f>
        <v>-796.291710120813</v>
      </c>
      <c r="K24" s="33" t="n">
        <f aca="false">Liabilities!K29</f>
        <v>-820.089177679789</v>
      </c>
      <c r="L24" s="33" t="n">
        <f aca="false">Liabilities!L29</f>
        <v>-844.289246911517</v>
      </c>
      <c r="M24" s="33" t="n">
        <f aca="false">Liabilities!M29</f>
        <v>-868.888796486874</v>
      </c>
      <c r="N24" s="33" t="n">
        <f aca="false">Liabilities!N29</f>
        <v>-893.883907334707</v>
      </c>
      <c r="O24" s="33" t="n">
        <f aca="false">Liabilities!O29</f>
        <v>-919.269807181046</v>
      </c>
      <c r="P24" s="33" t="n">
        <f aca="false">Liabilities!P29</f>
        <v>-945.040812045591</v>
      </c>
      <c r="Q24" s="33" t="n">
        <f aca="false">Liabilities!Q29</f>
        <v>-971.190264544924</v>
      </c>
      <c r="R24" s="33" t="n">
        <f aca="false">Liabilities!R29</f>
        <v>-997.710468844843</v>
      </c>
      <c r="S24" s="33" t="n">
        <f aca="false">Liabilities!S29</f>
        <v>-1024.59262209689</v>
      </c>
      <c r="T24" s="33" t="n">
        <f aca="false">Liabilities!T29</f>
        <v>-1051.82674218646</v>
      </c>
      <c r="U24" s="33" t="n">
        <f aca="false">Liabilities!U29</f>
        <v>-1079.40159161182</v>
      </c>
      <c r="V24" s="33" t="n">
        <f aca="false">Liabilities!V29</f>
        <v>-1107.30459730501</v>
      </c>
      <c r="W24" s="33" t="n">
        <f aca="false">Liabilities!W29</f>
        <v>-1135.52176619694</v>
      </c>
    </row>
    <row r="25" customFormat="false" ht="16.5" hidden="false" customHeight="true" outlineLevel="0" collapsed="false">
      <c r="A25" s="24" t="s">
        <v>211</v>
      </c>
      <c r="B25" s="18" t="s">
        <v>174</v>
      </c>
      <c r="C25" s="30" t="n">
        <f aca="false">C23-C24</f>
        <v>5353.1</v>
      </c>
      <c r="D25" s="30" t="n">
        <f aca="false">D23-D24</f>
        <v>5418.4145</v>
      </c>
      <c r="E25" s="30" t="n">
        <f aca="false">E23-E24</f>
        <v>5486.3447055</v>
      </c>
      <c r="F25" s="30" t="n">
        <f aca="false">F23-F24</f>
        <v>5557.0045127165</v>
      </c>
      <c r="G25" s="30" t="n">
        <f aca="false">G23-G24</f>
        <v>5630.51320320149</v>
      </c>
      <c r="H25" s="30" t="n">
        <f aca="false">H23-H24</f>
        <v>5706.99571612137</v>
      </c>
      <c r="I25" s="30" t="n">
        <f aca="false">I23-I24</f>
        <v>5786.58293495017</v>
      </c>
      <c r="J25" s="30" t="n">
        <f aca="false">J23-J24</f>
        <v>5869.41198936129</v>
      </c>
      <c r="K25" s="30" t="n">
        <f aca="false">K23-K24</f>
        <v>5955.6265731454</v>
      </c>
      <c r="L25" s="30" t="n">
        <f aca="false">L23-L24</f>
        <v>6045.37727902758</v>
      </c>
      <c r="M25" s="30" t="n">
        <f aca="false">M23-M24</f>
        <v>6138.82195130536</v>
      </c>
      <c r="N25" s="30" t="n">
        <f aca="false">N23-N24</f>
        <v>6236.12605727983</v>
      </c>
      <c r="O25" s="30" t="n">
        <f aca="false">O23-O24</f>
        <v>6337.463078506</v>
      </c>
      <c r="P25" s="30" t="n">
        <f aca="false">P23-P24</f>
        <v>6443.01492294532</v>
      </c>
      <c r="Q25" s="30" t="n">
        <f aca="false">Q23-Q24</f>
        <v>6552.97235916281</v>
      </c>
      <c r="R25" s="30" t="n">
        <f aca="false">R23-R24</f>
        <v>6667.5354737749</v>
      </c>
      <c r="S25" s="30" t="n">
        <f aca="false">S23-S24</f>
        <v>6786.91415342039</v>
      </c>
      <c r="T25" s="30" t="n">
        <f aca="false">T23-T24</f>
        <v>6911.3285925977</v>
      </c>
      <c r="U25" s="30" t="n">
        <f aca="false">U23-U24</f>
        <v>7041.00982878548</v>
      </c>
      <c r="V25" s="30" t="n">
        <f aca="false">V23-V24</f>
        <v>7176.20030634265</v>
      </c>
      <c r="W25" s="30" t="n">
        <f aca="false">W23-W24</f>
        <v>7317.1544707662</v>
      </c>
    </row>
    <row r="26" customFormat="false" ht="16.5" hidden="false" customHeight="true" outlineLevel="0" collapsed="false">
      <c r="A26" s="24" t="s">
        <v>212</v>
      </c>
      <c r="B26" s="18" t="s">
        <v>174</v>
      </c>
      <c r="C26" s="30" t="n">
        <f aca="false">C25</f>
        <v>5353.1</v>
      </c>
      <c r="D26" s="30" t="n">
        <f aca="false">C26+D25</f>
        <v>10771.5145</v>
      </c>
      <c r="E26" s="30" t="n">
        <f aca="false">D26+E25</f>
        <v>16257.8592055</v>
      </c>
      <c r="F26" s="30" t="n">
        <f aca="false">E26+F25</f>
        <v>21814.8637182165</v>
      </c>
      <c r="G26" s="30" t="n">
        <f aca="false">F26+G25</f>
        <v>27445.376921418</v>
      </c>
      <c r="H26" s="30" t="n">
        <f aca="false">G26+H25</f>
        <v>33152.3726375394</v>
      </c>
      <c r="I26" s="30" t="n">
        <f aca="false">H26+I25</f>
        <v>38938.9555724895</v>
      </c>
      <c r="J26" s="30" t="n">
        <f aca="false">I26+J25</f>
        <v>44808.3675618508</v>
      </c>
      <c r="K26" s="30" t="n">
        <f aca="false">J26+K25</f>
        <v>50763.9941349962</v>
      </c>
      <c r="L26" s="30" t="n">
        <f aca="false">K26+L25</f>
        <v>56809.3714140238</v>
      </c>
      <c r="M26" s="30" t="n">
        <f aca="false">L26+M25</f>
        <v>62948.1933653292</v>
      </c>
      <c r="N26" s="30" t="n">
        <f aca="false">M26+N25</f>
        <v>69184.319422609</v>
      </c>
      <c r="O26" s="30" t="n">
        <f aca="false">N26+O25</f>
        <v>75521.782501115</v>
      </c>
      <c r="P26" s="30" t="n">
        <f aca="false">O26+P25</f>
        <v>81964.7974240603</v>
      </c>
      <c r="Q26" s="30" t="n">
        <f aca="false">P26+Q25</f>
        <v>88517.7697832231</v>
      </c>
      <c r="R26" s="30" t="n">
        <f aca="false">Q26+R25</f>
        <v>95185.305256998</v>
      </c>
      <c r="S26" s="30" t="n">
        <f aca="false">R26+S25</f>
        <v>101972.219410418</v>
      </c>
      <c r="T26" s="30" t="n">
        <f aca="false">S26+T25</f>
        <v>108883.548003016</v>
      </c>
      <c r="U26" s="30" t="n">
        <f aca="false">T26+U25</f>
        <v>115924.557831802</v>
      </c>
      <c r="V26" s="30" t="n">
        <f aca="false">U26+V25</f>
        <v>123100.758138144</v>
      </c>
      <c r="W26" s="30" t="n">
        <f aca="false">V26+W25</f>
        <v>130417.91260891</v>
      </c>
    </row>
  </sheetData>
  <mergeCells count="4">
    <mergeCell ref="A1:N1"/>
    <mergeCell ref="A4:N4"/>
    <mergeCell ref="A13:N13"/>
    <mergeCell ref="A22:N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J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15" t="s">
        <v>213</v>
      </c>
      <c r="B1" s="15"/>
      <c r="C1" s="15"/>
      <c r="D1" s="15"/>
      <c r="E1" s="15"/>
      <c r="F1" s="15"/>
      <c r="G1" s="15"/>
      <c r="H1" s="15"/>
      <c r="I1" s="15"/>
      <c r="J1" s="15"/>
    </row>
    <row r="3" customFormat="false" ht="15" hidden="false" customHeight="true" outlineLevel="0" collapsed="false">
      <c r="A3" s="16" t="s">
        <v>214</v>
      </c>
      <c r="B3" s="16"/>
      <c r="C3" s="16"/>
      <c r="D3" s="16"/>
      <c r="E3" s="16"/>
      <c r="F3" s="16"/>
      <c r="G3" s="16"/>
      <c r="H3" s="16"/>
      <c r="I3" s="16"/>
      <c r="J3" s="16"/>
    </row>
    <row r="4" customFormat="false" ht="15" hidden="false" customHeight="false" outlineLevel="0" collapsed="false">
      <c r="A4" s="26" t="s">
        <v>215</v>
      </c>
      <c r="B4" s="26" t="s">
        <v>12</v>
      </c>
      <c r="C4" s="26" t="s">
        <v>9</v>
      </c>
      <c r="D4" s="26" t="s">
        <v>216</v>
      </c>
      <c r="E4" s="26" t="s">
        <v>217</v>
      </c>
    </row>
    <row r="5" customFormat="false" ht="18" hidden="false" customHeight="true" outlineLevel="0" collapsed="false">
      <c r="A5" s="18" t="s">
        <v>218</v>
      </c>
      <c r="B5" s="23" t="s">
        <v>219</v>
      </c>
      <c r="C5" s="23" t="s">
        <v>220</v>
      </c>
      <c r="D5" s="34" t="n">
        <f aca="false">C5-B5</f>
        <v>2.8</v>
      </c>
      <c r="E5" s="18" t="s">
        <v>221</v>
      </c>
    </row>
    <row r="6" customFormat="false" ht="18" hidden="false" customHeight="true" outlineLevel="0" collapsed="false">
      <c r="A6" s="18" t="s">
        <v>222</v>
      </c>
      <c r="B6" s="23" t="s">
        <v>223</v>
      </c>
      <c r="C6" s="23" t="s">
        <v>224</v>
      </c>
      <c r="D6" s="34" t="n">
        <f aca="false">C6-B6</f>
        <v>2.7</v>
      </c>
      <c r="E6" s="18" t="s">
        <v>225</v>
      </c>
    </row>
    <row r="7" customFormat="false" ht="18" hidden="false" customHeight="true" outlineLevel="0" collapsed="false">
      <c r="A7" s="18" t="s">
        <v>226</v>
      </c>
      <c r="B7" s="23" t="s">
        <v>227</v>
      </c>
      <c r="C7" s="23" t="s">
        <v>228</v>
      </c>
      <c r="D7" s="34" t="n">
        <f aca="false">C7-B7</f>
        <v>2660</v>
      </c>
      <c r="E7" s="18" t="s">
        <v>229</v>
      </c>
    </row>
    <row r="8" customFormat="false" ht="18" hidden="false" customHeight="true" outlineLevel="0" collapsed="false">
      <c r="A8" s="18" t="s">
        <v>230</v>
      </c>
      <c r="B8" s="23" t="s">
        <v>231</v>
      </c>
      <c r="C8" s="23" t="s">
        <v>232</v>
      </c>
      <c r="D8" s="34" t="n">
        <f aca="false">C8-B8</f>
        <v>63.8</v>
      </c>
      <c r="E8" s="18" t="s">
        <v>233</v>
      </c>
    </row>
    <row r="9" customFormat="false" ht="18" hidden="false" customHeight="true" outlineLevel="0" collapsed="false">
      <c r="A9" s="18" t="s">
        <v>234</v>
      </c>
      <c r="B9" s="23" t="s">
        <v>235</v>
      </c>
      <c r="C9" s="23" t="s">
        <v>236</v>
      </c>
      <c r="D9" s="34" t="n">
        <f aca="false">C9-B9</f>
        <v>8.3</v>
      </c>
      <c r="E9" s="18" t="s">
        <v>237</v>
      </c>
    </row>
    <row r="12" customFormat="false" ht="15" hidden="false" customHeight="true" outlineLevel="0" collapsed="false">
      <c r="A12" s="16" t="s">
        <v>238</v>
      </c>
      <c r="B12" s="16"/>
      <c r="C12" s="16"/>
      <c r="D12" s="16"/>
      <c r="E12" s="16"/>
      <c r="F12" s="16"/>
      <c r="G12" s="16"/>
      <c r="H12" s="16"/>
      <c r="I12" s="16"/>
      <c r="J12" s="16"/>
    </row>
    <row r="13" customFormat="false" ht="26.85" hidden="false" customHeight="false" outlineLevel="0" collapsed="false">
      <c r="A13" s="26" t="s">
        <v>239</v>
      </c>
      <c r="B13" s="26" t="s">
        <v>174</v>
      </c>
      <c r="C13" s="26" t="s">
        <v>240</v>
      </c>
      <c r="D13" s="26" t="s">
        <v>73</v>
      </c>
    </row>
    <row r="14" customFormat="false" ht="18" hidden="false" customHeight="true" outlineLevel="0" collapsed="false">
      <c r="A14" s="18" t="s">
        <v>241</v>
      </c>
      <c r="B14" s="29" t="s">
        <v>242</v>
      </c>
      <c r="C14" s="25" t="n">
        <f aca="false">B14/B14</f>
        <v>1</v>
      </c>
      <c r="D14" s="18" t="s">
        <v>243</v>
      </c>
    </row>
    <row r="15" customFormat="false" ht="18" hidden="false" customHeight="true" outlineLevel="0" collapsed="false">
      <c r="A15" s="18" t="s">
        <v>244</v>
      </c>
      <c r="B15" s="29" t="s">
        <v>245</v>
      </c>
      <c r="C15" s="25" t="n">
        <f aca="false">B15/B14</f>
        <v>0.0690839694656489</v>
      </c>
      <c r="D15" s="18" t="s">
        <v>246</v>
      </c>
    </row>
    <row r="16" customFormat="false" ht="18" hidden="false" customHeight="true" outlineLevel="0" collapsed="false">
      <c r="A16" s="18" t="s">
        <v>247</v>
      </c>
      <c r="B16" s="30" t="n">
        <f aca="false">B14+B15</f>
        <v>56020</v>
      </c>
      <c r="C16" s="25" t="n">
        <f aca="false">(B14+B15)/B14</f>
        <v>1.06908396946565</v>
      </c>
      <c r="D16" s="18" t="s">
        <v>248</v>
      </c>
    </row>
    <row r="17" customFormat="false" ht="18" hidden="false" customHeight="true" outlineLevel="0" collapsed="false">
      <c r="A17" s="18" t="s">
        <v>249</v>
      </c>
      <c r="B17" s="29" t="s">
        <v>250</v>
      </c>
      <c r="C17" s="25" t="n">
        <f aca="false">B17/B14</f>
        <v>0.0797709923664122</v>
      </c>
      <c r="D17" s="18" t="s">
        <v>251</v>
      </c>
    </row>
    <row r="18" customFormat="false" ht="18" hidden="false" customHeight="true" outlineLevel="0" collapsed="false">
      <c r="A18" s="18" t="s">
        <v>252</v>
      </c>
      <c r="B18" s="29" t="s">
        <v>253</v>
      </c>
      <c r="C18" s="25" t="n">
        <f aca="false">B18/B14</f>
        <v>0.119274809160305</v>
      </c>
      <c r="D18" s="18" t="s">
        <v>254</v>
      </c>
    </row>
    <row r="19" customFormat="false" ht="18" hidden="false" customHeight="true" outlineLevel="0" collapsed="false">
      <c r="A19" s="18" t="s">
        <v>255</v>
      </c>
      <c r="B19" s="29" t="s">
        <v>256</v>
      </c>
      <c r="C19" s="25" t="n">
        <f aca="false">B19/B14</f>
        <v>0.0305343511450382</v>
      </c>
      <c r="D19" s="18" t="s">
        <v>257</v>
      </c>
    </row>
    <row r="20" customFormat="false" ht="18" hidden="false" customHeight="true" outlineLevel="0" collapsed="false">
      <c r="A20" s="18" t="s">
        <v>258</v>
      </c>
      <c r="B20" s="29" t="s">
        <v>259</v>
      </c>
      <c r="C20" s="25" t="n">
        <f aca="false">B20/B14</f>
        <v>0.0143129770992366</v>
      </c>
      <c r="D20" s="18" t="s">
        <v>260</v>
      </c>
    </row>
    <row r="21" customFormat="false" ht="18" hidden="false" customHeight="true" outlineLevel="0" collapsed="false">
      <c r="A21" s="18" t="s">
        <v>261</v>
      </c>
      <c r="B21" s="29" t="s">
        <v>262</v>
      </c>
      <c r="C21" s="25" t="n">
        <f aca="false">B21/B14</f>
        <v>0.0400763358778626</v>
      </c>
      <c r="D21" s="18" t="s">
        <v>263</v>
      </c>
    </row>
    <row r="22" customFormat="false" ht="18" hidden="false" customHeight="true" outlineLevel="0" collapsed="false">
      <c r="A22" s="18" t="s">
        <v>264</v>
      </c>
      <c r="B22" s="29" t="s">
        <v>265</v>
      </c>
      <c r="C22" s="25" t="n">
        <f aca="false">B22/B14</f>
        <v>-0.0683206106870229</v>
      </c>
      <c r="D22" s="18" t="s">
        <v>266</v>
      </c>
    </row>
    <row r="23" customFormat="false" ht="18" hidden="false" customHeight="true" outlineLevel="0" collapsed="false">
      <c r="A23" s="35" t="s">
        <v>267</v>
      </c>
      <c r="B23" s="30" t="n">
        <f aca="false">SUM(B17:B21)</f>
        <v>0</v>
      </c>
      <c r="C23" s="25" t="n">
        <f aca="false">B23/B14</f>
        <v>0</v>
      </c>
      <c r="D23" s="18" t="s">
        <v>268</v>
      </c>
    </row>
    <row r="24" customFormat="false" ht="18" hidden="false" customHeight="true" outlineLevel="0" collapsed="false">
      <c r="A24" s="35" t="s">
        <v>269</v>
      </c>
      <c r="B24" s="30" t="n">
        <f aca="false">B23+B22</f>
        <v>-3580</v>
      </c>
      <c r="C24" s="25" t="n">
        <f aca="false">B24/B14</f>
        <v>-0.0683206106870229</v>
      </c>
      <c r="D24" s="18" t="s">
        <v>270</v>
      </c>
    </row>
    <row r="25" customFormat="false" ht="18" hidden="false" customHeight="true" outlineLevel="0" collapsed="false">
      <c r="A25" s="18" t="s">
        <v>271</v>
      </c>
      <c r="B25" s="29" t="s">
        <v>272</v>
      </c>
      <c r="C25" s="25" t="n">
        <f aca="false">B25/B14</f>
        <v>0.237595419847328</v>
      </c>
      <c r="D25" s="18" t="s">
        <v>273</v>
      </c>
    </row>
    <row r="26" customFormat="false" ht="18" hidden="false" customHeight="true" outlineLevel="0" collapsed="false">
      <c r="A26" s="35" t="s">
        <v>274</v>
      </c>
      <c r="B26" s="25" t="n">
        <f aca="false">B25/B24</f>
        <v>-3.47765363128492</v>
      </c>
      <c r="C26" s="21" t="s">
        <v>81</v>
      </c>
      <c r="D26" s="18" t="s">
        <v>275</v>
      </c>
    </row>
    <row r="29" customFormat="false" ht="15" hidden="false" customHeight="true" outlineLevel="0" collapsed="false">
      <c r="A29" s="16" t="s">
        <v>276</v>
      </c>
      <c r="B29" s="16"/>
      <c r="C29" s="16"/>
      <c r="D29" s="16"/>
      <c r="E29" s="16"/>
      <c r="F29" s="16"/>
      <c r="G29" s="16"/>
      <c r="H29" s="16"/>
      <c r="I29" s="16"/>
      <c r="J29" s="16"/>
    </row>
    <row r="30" customFormat="false" ht="26.85" hidden="false" customHeight="false" outlineLevel="0" collapsed="false">
      <c r="A30" s="26" t="s">
        <v>277</v>
      </c>
      <c r="B30" s="26" t="s">
        <v>278</v>
      </c>
      <c r="C30" s="26" t="s">
        <v>279</v>
      </c>
      <c r="D30" s="26" t="s">
        <v>280</v>
      </c>
      <c r="E30" s="26" t="s">
        <v>281</v>
      </c>
    </row>
    <row r="31" customFormat="false" ht="16.5" hidden="false" customHeight="true" outlineLevel="0" collapsed="false">
      <c r="A31" s="29" t="n">
        <v>-200</v>
      </c>
      <c r="B31" s="29" t="n">
        <v>24650</v>
      </c>
      <c r="C31" s="29" t="n">
        <v>16415</v>
      </c>
      <c r="D31" s="30" t="n">
        <f aca="false">B31-C31</f>
        <v>8235</v>
      </c>
      <c r="E31" s="25" t="n">
        <f aca="false">D31/56020</f>
        <v>0.147001071046055</v>
      </c>
    </row>
    <row r="32" customFormat="false" ht="16.5" hidden="false" customHeight="true" outlineLevel="0" collapsed="false">
      <c r="A32" s="29" t="n">
        <v>-100</v>
      </c>
      <c r="B32" s="29" t="n">
        <v>11862</v>
      </c>
      <c r="C32" s="29" t="n">
        <v>7798</v>
      </c>
      <c r="D32" s="30" t="n">
        <f aca="false">B32-C32</f>
        <v>4064</v>
      </c>
      <c r="E32" s="25" t="n">
        <f aca="false">D32/56020</f>
        <v>0.0725455194573367</v>
      </c>
    </row>
    <row r="33" customFormat="false" ht="16.5" hidden="false" customHeight="true" outlineLevel="0" collapsed="false">
      <c r="A33" s="29" t="n">
        <v>-50</v>
      </c>
      <c r="B33" s="29" t="n">
        <v>5816</v>
      </c>
      <c r="C33" s="29" t="n">
        <v>3797</v>
      </c>
      <c r="D33" s="30" t="n">
        <f aca="false">B33-C33</f>
        <v>2019</v>
      </c>
      <c r="E33" s="25" t="n">
        <f aca="false">D33/56020</f>
        <v>0.0360406997500893</v>
      </c>
    </row>
    <row r="34" customFormat="false" ht="16.5" hidden="false" customHeight="true" outlineLevel="0" collapsed="false">
      <c r="A34" s="29" t="n">
        <v>-25</v>
      </c>
      <c r="B34" s="29" t="n">
        <v>2879</v>
      </c>
      <c r="C34" s="29" t="n">
        <v>1873</v>
      </c>
      <c r="D34" s="30" t="n">
        <f aca="false">B34-C34</f>
        <v>1006</v>
      </c>
      <c r="E34" s="25" t="n">
        <f aca="false">D34/56020</f>
        <v>0.0179578721885041</v>
      </c>
    </row>
    <row r="35" customFormat="false" ht="16.5" hidden="false" customHeight="true" outlineLevel="0" collapsed="false">
      <c r="A35" s="29" t="n">
        <v>0</v>
      </c>
      <c r="B35" s="29" t="n">
        <v>0</v>
      </c>
      <c r="C35" s="29" t="n">
        <v>0</v>
      </c>
      <c r="D35" s="30" t="n">
        <f aca="false">B35-C35</f>
        <v>0</v>
      </c>
      <c r="E35" s="25" t="n">
        <f aca="false">D35/56020</f>
        <v>0</v>
      </c>
    </row>
    <row r="36" customFormat="false" ht="16.5" hidden="false" customHeight="true" outlineLevel="0" collapsed="false">
      <c r="A36" s="29" t="n">
        <v>25</v>
      </c>
      <c r="B36" s="29" t="n">
        <v>-2821</v>
      </c>
      <c r="C36" s="29" t="n">
        <v>-1822</v>
      </c>
      <c r="D36" s="30" t="n">
        <f aca="false">B36-C36</f>
        <v>-999</v>
      </c>
      <c r="E36" s="25" t="n">
        <f aca="false">D36/56020</f>
        <v>-0.0178329168154231</v>
      </c>
    </row>
    <row r="37" customFormat="false" ht="16.5" hidden="false" customHeight="true" outlineLevel="0" collapsed="false">
      <c r="A37" s="29" t="n">
        <v>50</v>
      </c>
      <c r="B37" s="29" t="n">
        <v>-5584</v>
      </c>
      <c r="C37" s="29" t="n">
        <v>-3592</v>
      </c>
      <c r="D37" s="30" t="n">
        <f aca="false">B37-C37</f>
        <v>-1992</v>
      </c>
      <c r="E37" s="25" t="n">
        <f aca="false">D37/56020</f>
        <v>-0.0355587290253481</v>
      </c>
    </row>
    <row r="38" customFormat="false" ht="16.5" hidden="false" customHeight="true" outlineLevel="0" collapsed="false">
      <c r="A38" s="29" t="n">
        <v>100</v>
      </c>
      <c r="B38" s="29" t="n">
        <v>-10938</v>
      </c>
      <c r="C38" s="29" t="n">
        <v>-6979</v>
      </c>
      <c r="D38" s="30" t="n">
        <f aca="false">B38-C38</f>
        <v>-3959</v>
      </c>
      <c r="E38" s="25" t="n">
        <f aca="false">D38/56020</f>
        <v>-0.070671188861121</v>
      </c>
    </row>
    <row r="39" customFormat="false" ht="16.5" hidden="false" customHeight="true" outlineLevel="0" collapsed="false">
      <c r="A39" s="29" t="n">
        <v>200</v>
      </c>
      <c r="B39" s="29" t="n">
        <v>-20950</v>
      </c>
      <c r="C39" s="29" t="n">
        <v>-13139</v>
      </c>
      <c r="D39" s="30" t="n">
        <f aca="false">B39-C39</f>
        <v>-7811</v>
      </c>
      <c r="E39" s="25" t="n">
        <f aca="false">D39/56020</f>
        <v>-0.13943234559086</v>
      </c>
    </row>
  </sheetData>
  <mergeCells count="4">
    <mergeCell ref="A1:J1"/>
    <mergeCell ref="A3:J3"/>
    <mergeCell ref="A12:J12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26"/>
  </cols>
  <sheetData>
    <row r="1" customFormat="false" ht="27.75" hidden="false" customHeight="true" outlineLevel="0" collapsed="false">
      <c r="A1" s="15" t="s">
        <v>282</v>
      </c>
      <c r="B1" s="15"/>
      <c r="C1" s="15"/>
      <c r="D1" s="15"/>
      <c r="E1" s="15"/>
      <c r="F1" s="15"/>
      <c r="G1" s="15"/>
      <c r="H1" s="15"/>
      <c r="I1" s="15"/>
    </row>
    <row r="3" customFormat="false" ht="15" hidden="false" customHeight="true" outlineLevel="0" collapsed="false">
      <c r="A3" s="16" t="s">
        <v>283</v>
      </c>
      <c r="B3" s="16"/>
      <c r="C3" s="16"/>
      <c r="D3" s="16"/>
      <c r="E3" s="16"/>
      <c r="F3" s="16"/>
      <c r="G3" s="16"/>
      <c r="H3" s="16"/>
      <c r="I3" s="16"/>
    </row>
    <row r="4" customFormat="false" ht="22.35" hidden="false" customHeight="false" outlineLevel="0" collapsed="false">
      <c r="A4" s="27" t="s">
        <v>284</v>
      </c>
      <c r="B4" s="27" t="s">
        <v>285</v>
      </c>
      <c r="C4" s="27" t="s">
        <v>286</v>
      </c>
      <c r="D4" s="27" t="s">
        <v>287</v>
      </c>
      <c r="E4" s="27" t="s">
        <v>288</v>
      </c>
      <c r="F4" s="27" t="s">
        <v>289</v>
      </c>
      <c r="G4" s="27" t="s">
        <v>290</v>
      </c>
      <c r="H4" s="27" t="s">
        <v>291</v>
      </c>
      <c r="I4" s="27" t="s">
        <v>292</v>
      </c>
    </row>
    <row r="5" customFormat="false" ht="30" hidden="false" customHeight="true" outlineLevel="0" collapsed="false">
      <c r="A5" s="18" t="s">
        <v>293</v>
      </c>
      <c r="B5" s="18" t="s">
        <v>294</v>
      </c>
      <c r="C5" s="21" t="s">
        <v>295</v>
      </c>
      <c r="D5" s="21" t="s">
        <v>296</v>
      </c>
      <c r="E5" s="21" t="s">
        <v>297</v>
      </c>
      <c r="F5" s="21" t="s">
        <v>298</v>
      </c>
      <c r="G5" s="21" t="s">
        <v>299</v>
      </c>
      <c r="H5" s="36" t="s">
        <v>300</v>
      </c>
      <c r="I5" s="18" t="s">
        <v>301</v>
      </c>
    </row>
    <row r="6" customFormat="false" ht="30" hidden="false" customHeight="true" outlineLevel="0" collapsed="false">
      <c r="A6" s="18" t="s">
        <v>302</v>
      </c>
      <c r="B6" s="18" t="s">
        <v>303</v>
      </c>
      <c r="C6" s="21" t="s">
        <v>304</v>
      </c>
      <c r="D6" s="21" t="s">
        <v>227</v>
      </c>
      <c r="E6" s="21" t="s">
        <v>305</v>
      </c>
      <c r="F6" s="21" t="s">
        <v>306</v>
      </c>
      <c r="G6" s="21" t="s">
        <v>307</v>
      </c>
      <c r="H6" s="36" t="s">
        <v>300</v>
      </c>
      <c r="I6" s="18" t="s">
        <v>308</v>
      </c>
    </row>
    <row r="7" customFormat="false" ht="30" hidden="false" customHeight="true" outlineLevel="0" collapsed="false">
      <c r="A7" s="18" t="s">
        <v>309</v>
      </c>
      <c r="B7" s="18" t="s">
        <v>310</v>
      </c>
      <c r="C7" s="21" t="s">
        <v>311</v>
      </c>
      <c r="D7" s="21" t="s">
        <v>312</v>
      </c>
      <c r="E7" s="21" t="s">
        <v>311</v>
      </c>
      <c r="F7" s="21" t="s">
        <v>313</v>
      </c>
      <c r="G7" s="21" t="s">
        <v>314</v>
      </c>
      <c r="H7" s="37" t="s">
        <v>315</v>
      </c>
      <c r="I7" s="18" t="s">
        <v>316</v>
      </c>
    </row>
    <row r="8" customFormat="false" ht="30" hidden="false" customHeight="true" outlineLevel="0" collapsed="false">
      <c r="A8" s="18" t="s">
        <v>317</v>
      </c>
      <c r="B8" s="18" t="s">
        <v>318</v>
      </c>
      <c r="C8" s="21" t="s">
        <v>319</v>
      </c>
      <c r="D8" s="21" t="s">
        <v>312</v>
      </c>
      <c r="E8" s="21" t="s">
        <v>262</v>
      </c>
      <c r="F8" s="21" t="s">
        <v>320</v>
      </c>
      <c r="G8" s="21" t="s">
        <v>321</v>
      </c>
      <c r="H8" s="36" t="s">
        <v>300</v>
      </c>
      <c r="I8" s="18" t="s">
        <v>322</v>
      </c>
    </row>
    <row r="9" customFormat="false" ht="30" hidden="false" customHeight="true" outlineLevel="0" collapsed="false">
      <c r="A9" s="18" t="s">
        <v>323</v>
      </c>
      <c r="B9" s="18" t="s">
        <v>324</v>
      </c>
      <c r="C9" s="21" t="s">
        <v>325</v>
      </c>
      <c r="D9" s="21" t="s">
        <v>312</v>
      </c>
      <c r="E9" s="21" t="s">
        <v>325</v>
      </c>
      <c r="F9" s="21" t="s">
        <v>326</v>
      </c>
      <c r="G9" s="21" t="s">
        <v>327</v>
      </c>
      <c r="H9" s="37" t="s">
        <v>315</v>
      </c>
      <c r="I9" s="18" t="s">
        <v>328</v>
      </c>
    </row>
    <row r="10" customFormat="false" ht="30" hidden="false" customHeight="true" outlineLevel="0" collapsed="false">
      <c r="A10" s="18" t="s">
        <v>329</v>
      </c>
      <c r="B10" s="18" t="s">
        <v>330</v>
      </c>
      <c r="C10" s="21" t="s">
        <v>312</v>
      </c>
      <c r="D10" s="21" t="s">
        <v>331</v>
      </c>
      <c r="E10" s="21" t="s">
        <v>325</v>
      </c>
      <c r="F10" s="21" t="s">
        <v>326</v>
      </c>
      <c r="G10" s="21" t="s">
        <v>327</v>
      </c>
      <c r="H10" s="37" t="s">
        <v>315</v>
      </c>
      <c r="I10" s="18" t="s">
        <v>332</v>
      </c>
    </row>
    <row r="11" customFormat="false" ht="30" hidden="false" customHeight="true" outlineLevel="0" collapsed="false">
      <c r="A11" s="18" t="s">
        <v>333</v>
      </c>
      <c r="B11" s="18" t="s">
        <v>334</v>
      </c>
      <c r="C11" s="21" t="s">
        <v>312</v>
      </c>
      <c r="D11" s="21" t="s">
        <v>335</v>
      </c>
      <c r="E11" s="21" t="s">
        <v>336</v>
      </c>
      <c r="F11" s="21" t="s">
        <v>337</v>
      </c>
      <c r="G11" s="21" t="s">
        <v>338</v>
      </c>
      <c r="H11" s="36" t="s">
        <v>300</v>
      </c>
      <c r="I11" s="18" t="s">
        <v>339</v>
      </c>
    </row>
    <row r="12" customFormat="false" ht="30" hidden="false" customHeight="true" outlineLevel="0" collapsed="false">
      <c r="A12" s="18" t="s">
        <v>340</v>
      </c>
      <c r="B12" s="18" t="s">
        <v>341</v>
      </c>
      <c r="C12" s="21" t="s">
        <v>312</v>
      </c>
      <c r="D12" s="21" t="s">
        <v>342</v>
      </c>
      <c r="E12" s="21" t="s">
        <v>343</v>
      </c>
      <c r="F12" s="21" t="s">
        <v>344</v>
      </c>
      <c r="G12" s="21" t="s">
        <v>345</v>
      </c>
      <c r="H12" s="36" t="s">
        <v>300</v>
      </c>
      <c r="I12" s="18" t="s">
        <v>346</v>
      </c>
    </row>
    <row r="13" customFormat="false" ht="30" hidden="false" customHeight="true" outlineLevel="0" collapsed="false">
      <c r="A13" s="18" t="s">
        <v>347</v>
      </c>
      <c r="B13" s="38" t="s">
        <v>348</v>
      </c>
      <c r="C13" s="21" t="s">
        <v>349</v>
      </c>
      <c r="D13" s="21" t="s">
        <v>350</v>
      </c>
      <c r="E13" s="21" t="s">
        <v>351</v>
      </c>
      <c r="F13" s="21" t="s">
        <v>352</v>
      </c>
      <c r="G13" s="21" t="s">
        <v>353</v>
      </c>
      <c r="H13" s="39" t="s">
        <v>354</v>
      </c>
      <c r="I13" s="18" t="s">
        <v>355</v>
      </c>
    </row>
    <row r="14" customFormat="false" ht="30" hidden="false" customHeight="true" outlineLevel="0" collapsed="false">
      <c r="A14" s="18" t="s">
        <v>356</v>
      </c>
      <c r="B14" s="18" t="s">
        <v>357</v>
      </c>
      <c r="C14" s="21" t="s">
        <v>358</v>
      </c>
      <c r="D14" s="21" t="s">
        <v>358</v>
      </c>
      <c r="E14" s="21" t="s">
        <v>358</v>
      </c>
      <c r="F14" s="21" t="s">
        <v>358</v>
      </c>
      <c r="G14" s="21" t="s">
        <v>358</v>
      </c>
      <c r="H14" s="40" t="s">
        <v>81</v>
      </c>
      <c r="I14" s="18" t="s">
        <v>359</v>
      </c>
    </row>
    <row r="18" customFormat="false" ht="15" hidden="false" customHeight="true" outlineLevel="0" collapsed="false">
      <c r="A18" s="16" t="s">
        <v>360</v>
      </c>
      <c r="B18" s="16"/>
      <c r="C18" s="16"/>
      <c r="D18" s="16"/>
      <c r="E18" s="16"/>
      <c r="F18" s="16"/>
      <c r="G18" s="16"/>
      <c r="H18" s="16"/>
      <c r="I18" s="16"/>
    </row>
    <row r="19" customFormat="false" ht="49.5" hidden="false" customHeight="true" outlineLevel="0" collapsed="false">
      <c r="A19" s="24" t="s">
        <v>361</v>
      </c>
      <c r="B19" s="41" t="s">
        <v>362</v>
      </c>
      <c r="C19" s="41"/>
      <c r="D19" s="41"/>
      <c r="E19" s="41"/>
      <c r="F19" s="41"/>
      <c r="G19" s="41"/>
      <c r="H19" s="41"/>
      <c r="I19" s="41"/>
    </row>
    <row r="20" customFormat="false" ht="49.5" hidden="false" customHeight="true" outlineLevel="0" collapsed="false">
      <c r="A20" s="24" t="s">
        <v>363</v>
      </c>
      <c r="B20" s="41" t="s">
        <v>364</v>
      </c>
      <c r="C20" s="41"/>
      <c r="D20" s="41"/>
      <c r="E20" s="41"/>
      <c r="F20" s="41"/>
      <c r="G20" s="41"/>
      <c r="H20" s="41"/>
      <c r="I20" s="41"/>
    </row>
    <row r="21" customFormat="false" ht="49.5" hidden="false" customHeight="true" outlineLevel="0" collapsed="false">
      <c r="A21" s="24" t="s">
        <v>365</v>
      </c>
      <c r="B21" s="41" t="s">
        <v>366</v>
      </c>
      <c r="C21" s="41"/>
      <c r="D21" s="41"/>
      <c r="E21" s="41"/>
      <c r="F21" s="41"/>
      <c r="G21" s="41"/>
      <c r="H21" s="41"/>
      <c r="I21" s="41"/>
    </row>
    <row r="22" customFormat="false" ht="49.5" hidden="false" customHeight="true" outlineLevel="0" collapsed="false">
      <c r="A22" s="24" t="s">
        <v>367</v>
      </c>
      <c r="B22" s="41" t="s">
        <v>368</v>
      </c>
      <c r="C22" s="41"/>
      <c r="D22" s="41"/>
      <c r="E22" s="41"/>
      <c r="F22" s="41"/>
      <c r="G22" s="41"/>
      <c r="H22" s="41"/>
      <c r="I22" s="41"/>
    </row>
    <row r="23" customFormat="false" ht="49.5" hidden="false" customHeight="true" outlineLevel="0" collapsed="false">
      <c r="A23" s="24" t="s">
        <v>369</v>
      </c>
      <c r="B23" s="41" t="s">
        <v>370</v>
      </c>
      <c r="C23" s="41"/>
      <c r="D23" s="41"/>
      <c r="E23" s="41"/>
      <c r="F23" s="41"/>
      <c r="G23" s="41"/>
      <c r="H23" s="41"/>
      <c r="I23" s="41"/>
    </row>
  </sheetData>
  <mergeCells count="8">
    <mergeCell ref="A1:I1"/>
    <mergeCell ref="A3:I3"/>
    <mergeCell ref="A18:I18"/>
    <mergeCell ref="B19:I19"/>
    <mergeCell ref="B20:I20"/>
    <mergeCell ref="B21:I21"/>
    <mergeCell ref="B22:I22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5" min="4" style="0" width="10"/>
    <col collapsed="false" customWidth="true" hidden="false" outlineLevel="0" max="6" min="6" style="0" width="20"/>
    <col collapsed="false" customWidth="true" hidden="false" outlineLevel="0" max="7" min="7" style="0" width="28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26"/>
  </cols>
  <sheetData>
    <row r="1" customFormat="false" ht="34.5" hidden="false" customHeight="true" outlineLevel="0" collapsed="false">
      <c r="A1" s="42" t="s">
        <v>371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customFormat="false" ht="19.5" hidden="false" customHeight="true" outlineLevel="0" collapsed="false">
      <c r="A2" s="28" t="s">
        <v>372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4" customFormat="false" ht="24" hidden="false" customHeight="true" outlineLevel="0" collapsed="false">
      <c r="A4" s="43" t="s">
        <v>373</v>
      </c>
      <c r="B4" s="43"/>
      <c r="C4" s="44" t="s">
        <v>199</v>
      </c>
      <c r="D4" s="44"/>
      <c r="E4" s="45" t="s">
        <v>374</v>
      </c>
      <c r="F4" s="45"/>
      <c r="G4" s="46" t="s">
        <v>375</v>
      </c>
      <c r="H4" s="46"/>
      <c r="I4" s="47" t="s">
        <v>376</v>
      </c>
      <c r="J4" s="47"/>
      <c r="K4" s="44" t="s">
        <v>377</v>
      </c>
      <c r="L4" s="44"/>
    </row>
    <row r="5" customFormat="false" ht="24" hidden="false" customHeight="true" outlineLevel="0" collapsed="false">
      <c r="A5" s="48" t="n">
        <f aca="false">ALM_Analysis!B26</f>
        <v>-3.47765363128492</v>
      </c>
      <c r="B5" s="48"/>
      <c r="C5" s="49" t="str">
        <f aca="false">ALM_Analysis!B25</f>
        <v>12,450</v>
      </c>
      <c r="D5" s="49"/>
      <c r="E5" s="50" t="str">
        <f aca="false">ALM_Analysis!B14</f>
        <v>52,400</v>
      </c>
      <c r="F5" s="50"/>
      <c r="G5" s="51" t="n">
        <f aca="false">ALM_Analysis!D5</f>
        <v>2.8</v>
      </c>
      <c r="H5" s="51"/>
      <c r="I5" s="52" t="n">
        <f aca="false">ALM_Analysis!B24</f>
        <v>-3580</v>
      </c>
      <c r="J5" s="52"/>
      <c r="K5" s="49" t="str">
        <f aca="false">ALM_Analysis!B15</f>
        <v>3,620</v>
      </c>
      <c r="L5" s="49"/>
    </row>
    <row r="6" customFormat="false" ht="24" hidden="false" customHeight="true" outlineLevel="0" collapsed="false">
      <c r="A6" s="53" t="s">
        <v>378</v>
      </c>
      <c r="B6" s="53"/>
      <c r="C6" s="53" t="s">
        <v>379</v>
      </c>
      <c r="D6" s="53"/>
      <c r="E6" s="53" t="s">
        <v>380</v>
      </c>
      <c r="F6" s="53"/>
      <c r="G6" s="53" t="s">
        <v>381</v>
      </c>
      <c r="H6" s="53"/>
      <c r="I6" s="53" t="s">
        <v>382</v>
      </c>
      <c r="J6" s="53"/>
      <c r="K6" s="53" t="s">
        <v>379</v>
      </c>
      <c r="L6" s="53"/>
    </row>
    <row r="8" customFormat="false" ht="15" hidden="false" customHeight="true" outlineLevel="0" collapsed="false">
      <c r="A8" s="16" t="s">
        <v>383</v>
      </c>
      <c r="B8" s="16"/>
      <c r="C8" s="16"/>
      <c r="D8" s="16"/>
      <c r="E8" s="16"/>
      <c r="F8" s="16"/>
      <c r="G8" s="16" t="s">
        <v>384</v>
      </c>
      <c r="H8" s="16"/>
      <c r="I8" s="16"/>
      <c r="J8" s="16"/>
      <c r="K8" s="16"/>
      <c r="L8" s="16"/>
    </row>
    <row r="9" customFormat="false" ht="22.35" hidden="false" customHeight="false" outlineLevel="0" collapsed="false">
      <c r="A9" s="27" t="s">
        <v>215</v>
      </c>
      <c r="B9" s="27" t="s">
        <v>385</v>
      </c>
      <c r="C9" s="27" t="s">
        <v>386</v>
      </c>
      <c r="D9" s="27" t="s">
        <v>387</v>
      </c>
      <c r="E9" s="27" t="s">
        <v>388</v>
      </c>
      <c r="F9" s="27" t="s">
        <v>389</v>
      </c>
      <c r="G9" s="27" t="s">
        <v>390</v>
      </c>
      <c r="H9" s="27" t="s">
        <v>391</v>
      </c>
      <c r="I9" s="27" t="s">
        <v>392</v>
      </c>
      <c r="J9" s="27" t="s">
        <v>393</v>
      </c>
      <c r="K9" s="27" t="s">
        <v>291</v>
      </c>
      <c r="L9" s="27" t="s">
        <v>394</v>
      </c>
    </row>
    <row r="10" customFormat="false" ht="18" hidden="false" customHeight="true" outlineLevel="0" collapsed="false">
      <c r="A10" s="18" t="s">
        <v>274</v>
      </c>
      <c r="B10" s="21" t="s">
        <v>299</v>
      </c>
      <c r="C10" s="18" t="s">
        <v>395</v>
      </c>
      <c r="D10" s="54" t="s">
        <v>300</v>
      </c>
      <c r="E10" s="21" t="s">
        <v>396</v>
      </c>
      <c r="F10" s="18" t="s">
        <v>397</v>
      </c>
      <c r="G10" s="18" t="s">
        <v>398</v>
      </c>
      <c r="H10" s="21" t="s">
        <v>299</v>
      </c>
      <c r="I10" s="21" t="s">
        <v>399</v>
      </c>
      <c r="J10" s="21" t="s">
        <v>400</v>
      </c>
      <c r="K10" s="54" t="s">
        <v>300</v>
      </c>
      <c r="L10" s="18" t="s">
        <v>401</v>
      </c>
    </row>
    <row r="11" customFormat="false" ht="18" hidden="false" customHeight="true" outlineLevel="0" collapsed="false">
      <c r="A11" s="18" t="s">
        <v>402</v>
      </c>
      <c r="B11" s="21" t="s">
        <v>403</v>
      </c>
      <c r="C11" s="18" t="s">
        <v>404</v>
      </c>
      <c r="D11" s="54" t="s">
        <v>300</v>
      </c>
      <c r="E11" s="21" t="s">
        <v>405</v>
      </c>
      <c r="F11" s="18" t="s">
        <v>406</v>
      </c>
      <c r="G11" s="18" t="s">
        <v>407</v>
      </c>
      <c r="H11" s="21" t="s">
        <v>307</v>
      </c>
      <c r="I11" s="21" t="s">
        <v>408</v>
      </c>
      <c r="J11" s="21" t="s">
        <v>409</v>
      </c>
      <c r="K11" s="54" t="s">
        <v>300</v>
      </c>
      <c r="L11" s="18" t="s">
        <v>401</v>
      </c>
    </row>
    <row r="12" customFormat="false" ht="18" hidden="false" customHeight="true" outlineLevel="0" collapsed="false">
      <c r="A12" s="18" t="s">
        <v>410</v>
      </c>
      <c r="B12" s="21" t="s">
        <v>411</v>
      </c>
      <c r="C12" s="18" t="s">
        <v>412</v>
      </c>
      <c r="D12" s="54" t="s">
        <v>300</v>
      </c>
      <c r="E12" s="21" t="s">
        <v>396</v>
      </c>
      <c r="F12" s="18" t="s">
        <v>413</v>
      </c>
      <c r="G12" s="18" t="s">
        <v>414</v>
      </c>
      <c r="H12" s="21" t="s">
        <v>314</v>
      </c>
      <c r="I12" s="21" t="s">
        <v>415</v>
      </c>
      <c r="J12" s="21" t="s">
        <v>416</v>
      </c>
      <c r="K12" s="55" t="s">
        <v>315</v>
      </c>
      <c r="L12" s="18" t="s">
        <v>417</v>
      </c>
    </row>
    <row r="13" customFormat="false" ht="18" hidden="false" customHeight="true" outlineLevel="0" collapsed="false">
      <c r="A13" s="18" t="s">
        <v>418</v>
      </c>
      <c r="B13" s="21" t="s">
        <v>419</v>
      </c>
      <c r="C13" s="18" t="s">
        <v>420</v>
      </c>
      <c r="D13" s="54" t="s">
        <v>300</v>
      </c>
      <c r="E13" s="21" t="s">
        <v>405</v>
      </c>
      <c r="F13" s="18" t="s">
        <v>421</v>
      </c>
      <c r="G13" s="18" t="s">
        <v>422</v>
      </c>
      <c r="H13" s="21" t="s">
        <v>327</v>
      </c>
      <c r="I13" s="21" t="s">
        <v>423</v>
      </c>
      <c r="J13" s="21" t="s">
        <v>424</v>
      </c>
      <c r="K13" s="55" t="s">
        <v>315</v>
      </c>
      <c r="L13" s="18" t="s">
        <v>425</v>
      </c>
    </row>
    <row r="14" customFormat="false" ht="18" hidden="false" customHeight="true" outlineLevel="0" collapsed="false">
      <c r="A14" s="18" t="s">
        <v>48</v>
      </c>
      <c r="B14" s="21" t="s">
        <v>426</v>
      </c>
      <c r="C14" s="18" t="s">
        <v>427</v>
      </c>
      <c r="D14" s="54" t="s">
        <v>300</v>
      </c>
      <c r="E14" s="21" t="s">
        <v>428</v>
      </c>
      <c r="F14" s="18" t="s">
        <v>429</v>
      </c>
      <c r="G14" s="18" t="s">
        <v>430</v>
      </c>
      <c r="H14" s="21" t="s">
        <v>327</v>
      </c>
      <c r="I14" s="21" t="s">
        <v>423</v>
      </c>
      <c r="J14" s="21" t="s">
        <v>424</v>
      </c>
      <c r="K14" s="55" t="s">
        <v>315</v>
      </c>
      <c r="L14" s="18" t="s">
        <v>425</v>
      </c>
    </row>
    <row r="15" customFormat="false" ht="18" hidden="false" customHeight="true" outlineLevel="0" collapsed="false">
      <c r="A15" s="18" t="s">
        <v>431</v>
      </c>
      <c r="B15" s="21" t="s">
        <v>315</v>
      </c>
      <c r="C15" s="18" t="s">
        <v>300</v>
      </c>
      <c r="D15" s="55" t="s">
        <v>315</v>
      </c>
      <c r="E15" s="21" t="s">
        <v>428</v>
      </c>
      <c r="F15" s="18" t="s">
        <v>432</v>
      </c>
      <c r="G15" s="18" t="s">
        <v>433</v>
      </c>
      <c r="H15" s="21" t="s">
        <v>353</v>
      </c>
      <c r="I15" s="21" t="s">
        <v>434</v>
      </c>
      <c r="J15" s="21" t="s">
        <v>435</v>
      </c>
      <c r="K15" s="56" t="s">
        <v>354</v>
      </c>
      <c r="L15" s="18" t="s">
        <v>436</v>
      </c>
    </row>
    <row r="16" customFormat="false" ht="18" hidden="false" customHeight="true" outlineLevel="0" collapsed="false">
      <c r="A16" s="18" t="s">
        <v>437</v>
      </c>
      <c r="B16" s="21" t="s">
        <v>438</v>
      </c>
      <c r="C16" s="18" t="s">
        <v>439</v>
      </c>
      <c r="D16" s="55" t="s">
        <v>315</v>
      </c>
      <c r="E16" s="21" t="s">
        <v>428</v>
      </c>
      <c r="F16" s="18" t="s">
        <v>440</v>
      </c>
      <c r="G16" s="18" t="s">
        <v>441</v>
      </c>
      <c r="H16" s="21" t="s">
        <v>321</v>
      </c>
      <c r="I16" s="21" t="s">
        <v>442</v>
      </c>
      <c r="J16" s="21" t="s">
        <v>443</v>
      </c>
      <c r="K16" s="54" t="s">
        <v>300</v>
      </c>
      <c r="L16" s="18" t="s">
        <v>401</v>
      </c>
    </row>
    <row r="17" customFormat="false" ht="18" hidden="false" customHeight="true" outlineLevel="0" collapsed="false">
      <c r="A17" s="18" t="s">
        <v>444</v>
      </c>
      <c r="B17" s="21" t="s">
        <v>445</v>
      </c>
      <c r="C17" s="18" t="s">
        <v>446</v>
      </c>
      <c r="D17" s="54" t="s">
        <v>300</v>
      </c>
      <c r="E17" s="21" t="s">
        <v>405</v>
      </c>
      <c r="F17" s="18" t="s">
        <v>447</v>
      </c>
      <c r="G17" s="18" t="s">
        <v>448</v>
      </c>
      <c r="H17" s="21" t="s">
        <v>338</v>
      </c>
      <c r="I17" s="21" t="s">
        <v>449</v>
      </c>
      <c r="J17" s="21" t="s">
        <v>450</v>
      </c>
      <c r="K17" s="54" t="s">
        <v>300</v>
      </c>
      <c r="L17" s="18" t="s">
        <v>401</v>
      </c>
    </row>
    <row r="20" customFormat="false" ht="15" hidden="false" customHeight="true" outlineLevel="0" collapsed="false">
      <c r="A20" s="16" t="s">
        <v>451</v>
      </c>
      <c r="B20" s="16"/>
      <c r="C20" s="16"/>
      <c r="D20" s="16"/>
      <c r="E20" s="16"/>
      <c r="F20" s="16"/>
      <c r="G20" s="16" t="s">
        <v>452</v>
      </c>
      <c r="H20" s="16"/>
      <c r="I20" s="16"/>
      <c r="J20" s="16"/>
      <c r="K20" s="16"/>
      <c r="L20" s="16"/>
    </row>
    <row r="21" customFormat="false" ht="15" hidden="false" customHeight="false" outlineLevel="0" collapsed="false">
      <c r="A21" s="27" t="s">
        <v>116</v>
      </c>
      <c r="B21" s="27" t="s">
        <v>453</v>
      </c>
      <c r="C21" s="27" t="s">
        <v>454</v>
      </c>
      <c r="D21" s="27" t="s">
        <v>455</v>
      </c>
      <c r="E21" s="27" t="s">
        <v>456</v>
      </c>
      <c r="F21" s="27" t="s">
        <v>457</v>
      </c>
      <c r="G21" s="27" t="s">
        <v>458</v>
      </c>
      <c r="H21" s="27" t="s">
        <v>459</v>
      </c>
      <c r="I21" s="27" t="s">
        <v>460</v>
      </c>
      <c r="J21" s="27" t="s">
        <v>394</v>
      </c>
      <c r="K21" s="27" t="s">
        <v>387</v>
      </c>
      <c r="L21" s="27" t="s">
        <v>73</v>
      </c>
    </row>
    <row r="22" customFormat="false" ht="18" hidden="false" customHeight="true" outlineLevel="0" collapsed="false">
      <c r="A22" s="57" t="s">
        <v>461</v>
      </c>
      <c r="B22" s="58" t="s">
        <v>462</v>
      </c>
      <c r="C22" s="58" t="s">
        <v>463</v>
      </c>
      <c r="D22" s="58" t="s">
        <v>464</v>
      </c>
      <c r="E22" s="58" t="s">
        <v>465</v>
      </c>
      <c r="F22" s="58" t="s">
        <v>466</v>
      </c>
      <c r="G22" s="18" t="s">
        <v>467</v>
      </c>
      <c r="H22" s="18" t="s">
        <v>468</v>
      </c>
      <c r="I22" s="18" t="s">
        <v>469</v>
      </c>
      <c r="J22" s="18" t="s">
        <v>470</v>
      </c>
      <c r="K22" s="59" t="s">
        <v>471</v>
      </c>
      <c r="L22" s="18" t="s">
        <v>472</v>
      </c>
    </row>
    <row r="23" customFormat="false" ht="18" hidden="false" customHeight="true" outlineLevel="0" collapsed="false">
      <c r="A23" s="57" t="s">
        <v>473</v>
      </c>
      <c r="B23" s="58" t="s">
        <v>474</v>
      </c>
      <c r="C23" s="58" t="s">
        <v>352</v>
      </c>
      <c r="D23" s="58" t="s">
        <v>475</v>
      </c>
      <c r="E23" s="58" t="s">
        <v>476</v>
      </c>
      <c r="F23" s="58" t="s">
        <v>477</v>
      </c>
      <c r="G23" s="18" t="s">
        <v>478</v>
      </c>
      <c r="H23" s="18" t="s">
        <v>479</v>
      </c>
      <c r="I23" s="18" t="s">
        <v>480</v>
      </c>
      <c r="J23" s="18" t="s">
        <v>470</v>
      </c>
      <c r="K23" s="60" t="s">
        <v>481</v>
      </c>
      <c r="L23" s="18" t="s">
        <v>482</v>
      </c>
    </row>
    <row r="24" customFormat="false" ht="18" hidden="false" customHeight="true" outlineLevel="0" collapsed="false">
      <c r="A24" s="57" t="s">
        <v>483</v>
      </c>
      <c r="B24" s="58" t="s">
        <v>484</v>
      </c>
      <c r="C24" s="58" t="s">
        <v>485</v>
      </c>
      <c r="D24" s="58" t="s">
        <v>486</v>
      </c>
      <c r="E24" s="58" t="s">
        <v>487</v>
      </c>
      <c r="F24" s="58" t="s">
        <v>466</v>
      </c>
      <c r="G24" s="18" t="s">
        <v>488</v>
      </c>
      <c r="H24" s="18" t="s">
        <v>489</v>
      </c>
      <c r="I24" s="18" t="s">
        <v>490</v>
      </c>
      <c r="J24" s="18" t="s">
        <v>491</v>
      </c>
      <c r="K24" s="60" t="s">
        <v>481</v>
      </c>
      <c r="L24" s="18" t="s">
        <v>492</v>
      </c>
    </row>
    <row r="25" customFormat="false" ht="18" hidden="false" customHeight="true" outlineLevel="0" collapsed="false">
      <c r="A25" s="57" t="s">
        <v>493</v>
      </c>
      <c r="B25" s="58" t="s">
        <v>494</v>
      </c>
      <c r="C25" s="58" t="s">
        <v>495</v>
      </c>
      <c r="D25" s="58" t="s">
        <v>496</v>
      </c>
      <c r="E25" s="58" t="s">
        <v>81</v>
      </c>
      <c r="F25" s="58" t="s">
        <v>497</v>
      </c>
      <c r="G25" s="18" t="s">
        <v>498</v>
      </c>
      <c r="H25" s="18" t="s">
        <v>499</v>
      </c>
      <c r="I25" s="18" t="s">
        <v>500</v>
      </c>
      <c r="J25" s="18" t="s">
        <v>470</v>
      </c>
      <c r="K25" s="61" t="s">
        <v>501</v>
      </c>
      <c r="L25" s="18" t="s">
        <v>502</v>
      </c>
    </row>
    <row r="26" customFormat="false" ht="18" hidden="false" customHeight="true" outlineLevel="0" collapsed="false">
      <c r="A26" s="57" t="s">
        <v>133</v>
      </c>
      <c r="B26" s="58" t="s">
        <v>503</v>
      </c>
      <c r="C26" s="58" t="s">
        <v>504</v>
      </c>
      <c r="D26" s="58" t="s">
        <v>505</v>
      </c>
      <c r="E26" s="58" t="s">
        <v>81</v>
      </c>
      <c r="F26" s="58" t="s">
        <v>466</v>
      </c>
      <c r="G26" s="18" t="s">
        <v>506</v>
      </c>
      <c r="H26" s="18" t="s">
        <v>479</v>
      </c>
      <c r="I26" s="18" t="s">
        <v>507</v>
      </c>
      <c r="J26" s="18" t="s">
        <v>491</v>
      </c>
      <c r="K26" s="62" t="s">
        <v>508</v>
      </c>
      <c r="L26" s="18" t="s">
        <v>509</v>
      </c>
    </row>
    <row r="27" customFormat="false" ht="18" hidden="false" customHeight="true" outlineLevel="0" collapsed="false">
      <c r="A27" s="57" t="s">
        <v>510</v>
      </c>
      <c r="B27" s="58" t="s">
        <v>511</v>
      </c>
      <c r="C27" s="58" t="s">
        <v>512</v>
      </c>
      <c r="D27" s="58" t="s">
        <v>513</v>
      </c>
      <c r="E27" s="58" t="s">
        <v>514</v>
      </c>
      <c r="F27" s="58" t="s">
        <v>466</v>
      </c>
      <c r="G27" s="18" t="s">
        <v>515</v>
      </c>
      <c r="H27" s="18" t="s">
        <v>468</v>
      </c>
      <c r="I27" s="18" t="s">
        <v>480</v>
      </c>
      <c r="J27" s="18" t="s">
        <v>516</v>
      </c>
      <c r="K27" s="60" t="s">
        <v>481</v>
      </c>
      <c r="L27" s="18" t="s">
        <v>517</v>
      </c>
    </row>
    <row r="28" customFormat="false" ht="18" hidden="false" customHeight="true" outlineLevel="0" collapsed="false">
      <c r="A28" s="63" t="s">
        <v>137</v>
      </c>
      <c r="B28" s="64" t="s">
        <v>518</v>
      </c>
      <c r="C28" s="64" t="s">
        <v>519</v>
      </c>
      <c r="D28" s="64" t="s">
        <v>520</v>
      </c>
      <c r="E28" s="64" t="s">
        <v>219</v>
      </c>
      <c r="F28" s="64"/>
      <c r="G28" s="18" t="s">
        <v>521</v>
      </c>
      <c r="H28" s="18" t="s">
        <v>522</v>
      </c>
      <c r="I28" s="18" t="s">
        <v>469</v>
      </c>
      <c r="J28" s="18" t="s">
        <v>470</v>
      </c>
      <c r="K28" s="59" t="s">
        <v>471</v>
      </c>
      <c r="L28" s="18" t="s">
        <v>523</v>
      </c>
    </row>
    <row r="29" customFormat="false" ht="18" hidden="false" customHeight="true" outlineLevel="0" collapsed="false">
      <c r="G29" s="18" t="s">
        <v>524</v>
      </c>
      <c r="H29" s="18" t="s">
        <v>489</v>
      </c>
      <c r="I29" s="18" t="s">
        <v>490</v>
      </c>
      <c r="J29" s="18" t="s">
        <v>491</v>
      </c>
      <c r="K29" s="60" t="s">
        <v>481</v>
      </c>
      <c r="L29" s="18" t="s">
        <v>525</v>
      </c>
    </row>
    <row r="30" customFormat="false" ht="18" hidden="false" customHeight="true" outlineLevel="0" collapsed="false">
      <c r="G30" s="18" t="s">
        <v>526</v>
      </c>
      <c r="H30" s="18" t="s">
        <v>479</v>
      </c>
      <c r="I30" s="18" t="s">
        <v>527</v>
      </c>
      <c r="J30" s="18" t="s">
        <v>491</v>
      </c>
      <c r="K30" s="60" t="s">
        <v>481</v>
      </c>
      <c r="L30" s="18" t="s">
        <v>528</v>
      </c>
    </row>
  </sheetData>
  <mergeCells count="24">
    <mergeCell ref="A1:L1"/>
    <mergeCell ref="A2:L2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C6:D6"/>
    <mergeCell ref="E6:F6"/>
    <mergeCell ref="G6:H6"/>
    <mergeCell ref="I6:J6"/>
    <mergeCell ref="K6:L6"/>
    <mergeCell ref="A8:F8"/>
    <mergeCell ref="G8:L8"/>
    <mergeCell ref="A20:F20"/>
    <mergeCell ref="G20:L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2026-04-14T15:35:46Z</dcterms:created>
  <dc:creator>openpyxl</dc:creator>
  <dc:description/>
  <dc:language>en-US</dc:language>
  <cp:lastModifiedBy/>
  <dcterms:modified xsi:type="dcterms:W3CDTF">2026-04-14T15:35:47Z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