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Girish\IAI\SP1 and SA1 Health and Care\Practice papers\Claude Widgets\Models\"/>
    </mc:Choice>
  </mc:AlternateContent>
  <xr:revisionPtr revIDLastSave="0" documentId="13_ncr:1_{EB2018B7-D3A8-4CA0-8157-C99273130E68}" xr6:coauthVersionLast="47" xr6:coauthVersionMax="47" xr10:uidLastSave="{00000000-0000-0000-0000-000000000000}"/>
  <bookViews>
    <workbookView xWindow="-108" yWindow="-108" windowWidth="23256" windowHeight="13176" tabRatio="645" activeTab="5" xr2:uid="{00000000-000D-0000-FFFF-FFFF00000000}"/>
  </bookViews>
  <sheets>
    <sheet name="Overview" sheetId="1" r:id="rId1"/>
    <sheet name="Assumptions" sheetId="2" r:id="rId2"/>
    <sheet name="Single Policy Profit Test" sheetId="3" r:id="rId3"/>
    <sheet name="New Business" sheetId="4" r:id="rId4"/>
    <sheet name="Existing Business" sheetId="5" r:id="rId5"/>
    <sheet name="Model Office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5" l="1"/>
  <c r="C14" i="5" s="1"/>
  <c r="G9" i="5"/>
  <c r="G8" i="5"/>
  <c r="G7" i="5"/>
  <c r="G10" i="5" s="1"/>
  <c r="H15" i="4"/>
  <c r="G15" i="4"/>
  <c r="H14" i="4"/>
  <c r="G14" i="4"/>
  <c r="F14" i="4"/>
  <c r="G13" i="4"/>
  <c r="F13" i="4"/>
  <c r="E13" i="4"/>
  <c r="H13" i="4" s="1"/>
  <c r="G12" i="4"/>
  <c r="F12" i="4"/>
  <c r="E12" i="4"/>
  <c r="D12" i="4"/>
  <c r="H12" i="4" s="1"/>
  <c r="G11" i="4"/>
  <c r="G16" i="4" s="1"/>
  <c r="F11" i="4"/>
  <c r="F16" i="4" s="1"/>
  <c r="E11" i="4"/>
  <c r="E16" i="4" s="1"/>
  <c r="D11" i="4"/>
  <c r="D16" i="4" s="1"/>
  <c r="C11" i="4"/>
  <c r="C16" i="4" s="1"/>
  <c r="I10" i="4"/>
  <c r="I8" i="4"/>
  <c r="H7" i="4"/>
  <c r="C12" i="3"/>
  <c r="C11" i="3"/>
  <c r="L9" i="3"/>
  <c r="K9" i="3"/>
  <c r="J9" i="3"/>
  <c r="I9" i="3"/>
  <c r="H9" i="3"/>
  <c r="G9" i="3"/>
  <c r="F9" i="3"/>
  <c r="E9" i="3"/>
  <c r="D9" i="3"/>
  <c r="C7" i="3"/>
  <c r="C6" i="3"/>
  <c r="C8" i="3" s="1"/>
  <c r="E26" i="4" l="1"/>
  <c r="E19" i="4"/>
  <c r="E7" i="6"/>
  <c r="E25" i="4"/>
  <c r="E23" i="4"/>
  <c r="F26" i="4"/>
  <c r="F19" i="4"/>
  <c r="F7" i="6"/>
  <c r="F25" i="4"/>
  <c r="F23" i="4"/>
  <c r="D7" i="6"/>
  <c r="D25" i="4"/>
  <c r="D23" i="4"/>
  <c r="D26" i="4"/>
  <c r="D19" i="4"/>
  <c r="C7" i="6"/>
  <c r="C25" i="4"/>
  <c r="H25" i="4" s="1"/>
  <c r="C23" i="4"/>
  <c r="C26" i="4"/>
  <c r="C19" i="4"/>
  <c r="G7" i="6"/>
  <c r="G25" i="4"/>
  <c r="G23" i="4"/>
  <c r="G26" i="4"/>
  <c r="G19" i="4"/>
  <c r="C17" i="5"/>
  <c r="C15" i="5"/>
  <c r="D14" i="5"/>
  <c r="C16" i="5"/>
  <c r="C10" i="3"/>
  <c r="C13" i="3"/>
  <c r="C9" i="3"/>
  <c r="M9" i="3" s="1"/>
  <c r="D6" i="3"/>
  <c r="H11" i="4"/>
  <c r="H16" i="4" s="1"/>
  <c r="G11" i="6" l="1"/>
  <c r="G24" i="4"/>
  <c r="D17" i="5"/>
  <c r="D15" i="5"/>
  <c r="E14" i="5"/>
  <c r="D16" i="5"/>
  <c r="D12" i="6" s="1"/>
  <c r="C11" i="6"/>
  <c r="H19" i="4"/>
  <c r="C24" i="4"/>
  <c r="H7" i="6"/>
  <c r="C9" i="6"/>
  <c r="I7" i="6"/>
  <c r="D12" i="3"/>
  <c r="D13" i="3"/>
  <c r="E6" i="3"/>
  <c r="D8" i="3"/>
  <c r="D11" i="3"/>
  <c r="D7" i="3"/>
  <c r="C12" i="6"/>
  <c r="F24" i="4"/>
  <c r="F27" i="4" s="1"/>
  <c r="F17" i="6" s="1"/>
  <c r="F11" i="6"/>
  <c r="C14" i="3"/>
  <c r="C8" i="6"/>
  <c r="C18" i="5"/>
  <c r="G27" i="4"/>
  <c r="G17" i="6" s="1"/>
  <c r="H26" i="4"/>
  <c r="E24" i="4"/>
  <c r="E11" i="6"/>
  <c r="H23" i="4"/>
  <c r="C27" i="4"/>
  <c r="D24" i="4"/>
  <c r="D27" i="4" s="1"/>
  <c r="D17" i="6" s="1"/>
  <c r="D11" i="6"/>
  <c r="D13" i="6" s="1"/>
  <c r="E27" i="4"/>
  <c r="E17" i="6" s="1"/>
  <c r="C15" i="3" l="1"/>
  <c r="C13" i="6"/>
  <c r="I11" i="6"/>
  <c r="H11" i="6"/>
  <c r="H27" i="4"/>
  <c r="C17" i="6"/>
  <c r="C18" i="6"/>
  <c r="E13" i="3"/>
  <c r="E7" i="3"/>
  <c r="E11" i="3"/>
  <c r="E12" i="3"/>
  <c r="E8" i="3"/>
  <c r="F6" i="3"/>
  <c r="H24" i="4"/>
  <c r="E16" i="5"/>
  <c r="E17" i="5"/>
  <c r="E15" i="5"/>
  <c r="F14" i="5"/>
  <c r="D14" i="3"/>
  <c r="D10" i="3"/>
  <c r="D8" i="6"/>
  <c r="D9" i="6" s="1"/>
  <c r="D18" i="5"/>
  <c r="D18" i="6" s="1"/>
  <c r="D19" i="6" s="1"/>
  <c r="D20" i="6" s="1"/>
  <c r="E12" i="6" l="1"/>
  <c r="F11" i="3"/>
  <c r="F7" i="3"/>
  <c r="F8" i="3"/>
  <c r="G6" i="3"/>
  <c r="F12" i="3"/>
  <c r="F13" i="3"/>
  <c r="E10" i="3"/>
  <c r="E14" i="3" s="1"/>
  <c r="C19" i="6"/>
  <c r="I17" i="6"/>
  <c r="H17" i="6"/>
  <c r="F16" i="5"/>
  <c r="F12" i="6" s="1"/>
  <c r="F13" i="6" s="1"/>
  <c r="F17" i="5"/>
  <c r="F15" i="5"/>
  <c r="G14" i="5"/>
  <c r="C16" i="3"/>
  <c r="D16" i="3"/>
  <c r="D17" i="3" s="1"/>
  <c r="D15" i="3"/>
  <c r="E8" i="6"/>
  <c r="E18" i="5"/>
  <c r="E18" i="6" s="1"/>
  <c r="E19" i="6" s="1"/>
  <c r="E20" i="6" s="1"/>
  <c r="E15" i="3" l="1"/>
  <c r="E16" i="3" s="1"/>
  <c r="F18" i="5"/>
  <c r="F18" i="6" s="1"/>
  <c r="F19" i="6" s="1"/>
  <c r="F20" i="6" s="1"/>
  <c r="F8" i="6"/>
  <c r="F9" i="6" s="1"/>
  <c r="E9" i="6"/>
  <c r="G11" i="3"/>
  <c r="G7" i="3"/>
  <c r="G12" i="3"/>
  <c r="G8" i="3"/>
  <c r="H6" i="3"/>
  <c r="G13" i="3"/>
  <c r="C17" i="3"/>
  <c r="C20" i="6"/>
  <c r="E13" i="6"/>
  <c r="G17" i="5"/>
  <c r="H17" i="5" s="1"/>
  <c r="G15" i="5"/>
  <c r="C24" i="6"/>
  <c r="G16" i="5"/>
  <c r="G12" i="6" s="1"/>
  <c r="G13" i="6" s="1"/>
  <c r="F10" i="3"/>
  <c r="F14" i="3" s="1"/>
  <c r="F15" i="3" l="1"/>
  <c r="F16" i="3" s="1"/>
  <c r="E17" i="3"/>
  <c r="G10" i="3"/>
  <c r="G14" i="3" s="1"/>
  <c r="H12" i="3"/>
  <c r="H8" i="3"/>
  <c r="H13" i="3"/>
  <c r="I6" i="3"/>
  <c r="H11" i="3"/>
  <c r="H7" i="3"/>
  <c r="H16" i="5"/>
  <c r="G8" i="6"/>
  <c r="G18" i="5"/>
  <c r="H15" i="5"/>
  <c r="I12" i="6"/>
  <c r="C18" i="3"/>
  <c r="D18" i="3" s="1"/>
  <c r="E18" i="3" s="1"/>
  <c r="H13" i="6"/>
  <c r="I13" i="6"/>
  <c r="H12" i="6"/>
  <c r="F17" i="3" l="1"/>
  <c r="G15" i="3"/>
  <c r="G16" i="3" s="1"/>
  <c r="F18" i="3"/>
  <c r="G9" i="6"/>
  <c r="H8" i="6"/>
  <c r="I8" i="6"/>
  <c r="G18" i="6"/>
  <c r="H18" i="5"/>
  <c r="I13" i="3"/>
  <c r="I7" i="3"/>
  <c r="I11" i="3"/>
  <c r="I12" i="3"/>
  <c r="I8" i="3"/>
  <c r="J6" i="3"/>
  <c r="H10" i="3"/>
  <c r="H14" i="3" s="1"/>
  <c r="H15" i="3" l="1"/>
  <c r="H16" i="3" s="1"/>
  <c r="G17" i="3"/>
  <c r="H9" i="6"/>
  <c r="I9" i="6"/>
  <c r="J11" i="3"/>
  <c r="J7" i="3"/>
  <c r="J12" i="3"/>
  <c r="J8" i="3"/>
  <c r="K6" i="3"/>
  <c r="J13" i="3"/>
  <c r="I10" i="3"/>
  <c r="I14" i="3" s="1"/>
  <c r="G19" i="6"/>
  <c r="I18" i="6"/>
  <c r="H18" i="6"/>
  <c r="G18" i="3"/>
  <c r="I15" i="3" l="1"/>
  <c r="I16" i="3" s="1"/>
  <c r="I17" i="3" s="1"/>
  <c r="H17" i="3"/>
  <c r="J10" i="3"/>
  <c r="J14" i="3" s="1"/>
  <c r="G20" i="6"/>
  <c r="I19" i="6"/>
  <c r="H19" i="6"/>
  <c r="K11" i="3"/>
  <c r="L13" i="3"/>
  <c r="K12" i="3"/>
  <c r="K8" i="3"/>
  <c r="L6" i="3"/>
  <c r="K7" i="3"/>
  <c r="K13" i="3"/>
  <c r="H18" i="3"/>
  <c r="C25" i="6"/>
  <c r="C26" i="6"/>
  <c r="J15" i="3" l="1"/>
  <c r="J16" i="3" s="1"/>
  <c r="J17" i="3" s="1"/>
  <c r="K10" i="3"/>
  <c r="K14" i="3" s="1"/>
  <c r="M13" i="3"/>
  <c r="I20" i="6"/>
  <c r="C23" i="6" s="1"/>
  <c r="H20" i="6"/>
  <c r="L12" i="3"/>
  <c r="M12" i="3" s="1"/>
  <c r="L11" i="3"/>
  <c r="M11" i="3" s="1"/>
  <c r="L7" i="3"/>
  <c r="L8" i="3"/>
  <c r="M8" i="3" s="1"/>
  <c r="I18" i="3"/>
  <c r="K15" i="3" l="1"/>
  <c r="K16" i="3"/>
  <c r="K17" i="3" s="1"/>
  <c r="L10" i="3"/>
  <c r="M10" i="3" s="1"/>
  <c r="M7" i="3"/>
  <c r="J18" i="3"/>
  <c r="K18" i="3" s="1"/>
  <c r="L14" i="3" l="1"/>
  <c r="L15" i="3" l="1"/>
  <c r="M15" i="3" s="1"/>
  <c r="M14" i="3"/>
  <c r="L16" i="3" l="1"/>
  <c r="L17" i="3" l="1"/>
  <c r="M16" i="3"/>
  <c r="M17" i="3" l="1"/>
  <c r="L18" i="3"/>
  <c r="M18" i="3" s="1"/>
</calcChain>
</file>

<file path=xl/sharedStrings.xml><?xml version="1.0" encoding="utf-8"?>
<sst xmlns="http://schemas.openxmlformats.org/spreadsheetml/2006/main" count="215" uniqueCount="172">
  <si>
    <t>MODEL OFFICE PROJECTION – SA1 / SP1 ACTUARIAL STUDY AID</t>
  </si>
  <si>
    <t>What is a Model Office?</t>
  </si>
  <si>
    <t>A Model Office is a full actuarial projection model that combines:
  (1) NEW BUSINESS MODEL – projects cashflows from all future new business
  (2) EXISTING BUSINESS MODEL – projects cashflows from the current in-force book
Together these give management a forward-looking view of profitability, solvency,
embedded value, and capital requirements (SP1 Ch11).</t>
  </si>
  <si>
    <t>Four Model Types (SP1 Ch11, Section 1.1)</t>
  </si>
  <si>
    <t>1. Single Policy Profit Test</t>
  </si>
  <si>
    <t>Projects one representative policy's cashflows. Used in pricing to check the premium satisfies the profit criterion.</t>
  </si>
  <si>
    <t>Assumptions tab</t>
  </si>
  <si>
    <t>2. New Business Model</t>
  </si>
  <si>
    <t>Projects cashflows from all new policies expected to be sold in future years.</t>
  </si>
  <si>
    <t>New Business tab</t>
  </si>
  <si>
    <t>3. Existing Business Model</t>
  </si>
  <si>
    <t>Projects cashflows from the current in-force portfolio, running off over time.</t>
  </si>
  <si>
    <t>Existing Business tab</t>
  </si>
  <si>
    <t>4. Full Model Office</t>
  </si>
  <si>
    <t>Sum of (2) and (3). Gives the complete forward-looking picture.</t>
  </si>
  <si>
    <t>Model Office tab</t>
  </si>
  <si>
    <t>Key Actuarial Concepts used in this model</t>
  </si>
  <si>
    <t>Model Point</t>
  </si>
  <si>
    <t>A representative policy record (age, benefit, term) fed into the model to stand in for a group of similar policies.</t>
  </si>
  <si>
    <t>Risk Discount Rate</t>
  </si>
  <si>
    <t>The return required by shareholders used to discount future cashflows in the profit test.</t>
  </si>
  <si>
    <t>Embedded Value</t>
  </si>
  <si>
    <t>PV of future profits from existing business + value of net assets. Increased/decreased by new business written each year.</t>
  </si>
  <si>
    <t>Sensitivity Test</t>
  </si>
  <si>
    <t>Re-running the model with a parameter varied (e.g., +10% claims) to assess vulnerability.</t>
  </si>
  <si>
    <t>Capital Strain</t>
  </si>
  <si>
    <t>Shortfall on day 1 when reserves + SCR exceed the first premium received; funded from the insurer's capital.</t>
  </si>
  <si>
    <t>ASSUMPTIONS – SINGLE POLICY PROFIT TEST &amp; MODEL OFFICE</t>
  </si>
  <si>
    <t>Product Characteristics (Critical Illness, 10-year term)</t>
  </si>
  <si>
    <t>Sum Assured (£)</t>
  </si>
  <si>
    <t>Lump-sum benefit paid on CI diagnosis</t>
  </si>
  <si>
    <t>Annual Gross Premium (£)</t>
  </si>
  <si>
    <t>Level annual premium paid monthly</t>
  </si>
  <si>
    <t>Policy Term (years)</t>
  </si>
  <si>
    <t>Fixed benefit term</t>
  </si>
  <si>
    <t>Deferred Period (months)</t>
  </si>
  <si>
    <t>No deferred period for CI</t>
  </si>
  <si>
    <t>Demographic Assumptions</t>
  </si>
  <si>
    <t>Annual CI Incidence Rate (%)</t>
  </si>
  <si>
    <t>Probability of a new CI claim per policy year</t>
  </si>
  <si>
    <t>Annual Mortality Rate (%)</t>
  </si>
  <si>
    <t>Probability of death per policy year (non-CI)</t>
  </si>
  <si>
    <t>Annual Lapse Rate (%)</t>
  </si>
  <si>
    <t>Probability of policy lapsing per year</t>
  </si>
  <si>
    <t>Claims Inflation (%pa)</t>
  </si>
  <si>
    <t>Future increase in claims cost (SP1 Ch13)</t>
  </si>
  <si>
    <t>Financial Assumptions</t>
  </si>
  <si>
    <t>Investment Return (%pa)</t>
  </si>
  <si>
    <t>Rate earned on reserves &amp; cashflows</t>
  </si>
  <si>
    <t>Risk Discount Rate (%pa)</t>
  </si>
  <si>
    <t>Shareholder required return; used to PV profits</t>
  </si>
  <si>
    <t>Initial Expense per Policy (£)</t>
  </si>
  <si>
    <t>Underwriting, admin at policy inception</t>
  </si>
  <si>
    <t>Annual Renewal Expense (£)</t>
  </si>
  <si>
    <t>Per-policy admin cost per year</t>
  </si>
  <si>
    <t>Commission – Year 1 (%prem)</t>
  </si>
  <si>
    <t>First-year commission to distributor</t>
  </si>
  <si>
    <t>Commission – Renewal (%prem)</t>
  </si>
  <si>
    <t>Ongoing commission</t>
  </si>
  <si>
    <t>Tax Rate (%)</t>
  </si>
  <si>
    <t>Corporation tax on profit</t>
  </si>
  <si>
    <t>Reserve Basis</t>
  </si>
  <si>
    <t>Reserving Incidence Rate (%)</t>
  </si>
  <si>
    <t>Prudent: higher than pricing basis (SP1 Ch13)</t>
  </si>
  <si>
    <t>Reserve Discount Rate (%pa)</t>
  </si>
  <si>
    <t>Prudent: lower than investment return</t>
  </si>
  <si>
    <t>Note: Blue cells = user inputs (change to run scenarios). Formulas auto-update.</t>
  </si>
  <si>
    <t>SINGLE POLICY PROFIT TEST – One Representative CI Policy</t>
  </si>
  <si>
    <t>Projects cashflows for a single model-point policy over its 10-year term. The NPV of profit, discounted at the risk discount rate, shows whether the product is profitable.</t>
  </si>
  <si>
    <t>Item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</si>
  <si>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</si>
  <si>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</si>
  <si>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</si>
  <si>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</si>
  <si>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</si>
  <si>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</si>
  <si>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</si>
  <si>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</si>
  <si>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</si>
  <si>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</si>
  <si>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 / NPV</t>
  </si>
  <si>
    <t>Policies In-Force (start of year)</t>
  </si>
  <si>
    <t>(+) Gross Premium Income</t>
  </si>
  <si>
    <t>(+) Investment Income</t>
  </si>
  <si>
    <t>(–) Initial Expenses</t>
  </si>
  <si>
    <t>(–) Commission</t>
  </si>
  <si>
    <t>(–) Claims Paid</t>
  </si>
  <si>
    <t>(–) Renewal Expenses</t>
  </si>
  <si>
    <t>(–) Increase in Reserves</t>
  </si>
  <si>
    <t>Pre-Tax Profit</t>
  </si>
  <si>
    <t>(–) Tax</t>
  </si>
  <si>
    <t>Post-Tax Profit</t>
  </si>
  <si>
    <t>Discounted Profit (PV @ RDR)</t>
  </si>
  <si>
    <t>Cumulative NPV of Profit</t>
  </si>
  <si>
    <t>Profit Criterion: The product is deemed acceptable if the Cumulative NPV of Profit (cell L17) &gt; 0. A negative NPV means the product destroys shareholder value at the risk discount rate.</t>
  </si>
  <si>
    <t>NEW BUSINESS MODEL – Projected Cashflows from Future New Business</t>
  </si>
  <si>
    <t>Projects the aggregate cashflows arising from new policies expected to be sold over the next 5 years. Inputs: new business volumes and mix (model points). Each cohort is a new group of policies.</t>
  </si>
  <si>
    <t>New Business Volume Assumptions (number of new policies per year)</t>
  </si>
  <si>
    <t>Total</t>
  </si>
  <si>
    <t>—</t>
  </si>
  <si>
    <t>Projected Aggregate Annual Premium Income (£)</t>
  </si>
  <si>
    <t>Cohort (policies sold in…)</t>
  </si>
  <si>
    <t>Yr 1 NB</t>
  </si>
  <si>
    <t>Yr 2 NB</t>
  </si>
  <si>
    <t>Yr 3 NB</t>
  </si>
  <si>
    <t>Yr 4 NB</t>
  </si>
  <si>
    <t>Yr 5 NB</t>
  </si>
  <si>
    <t>Policies from Year 1 cohort</t>
  </si>
  <si>
    <t>Policies from Year 2 cohort</t>
  </si>
  <si>
    <t>Policies from Year 3 cohort</t>
  </si>
  <si>
    <t>Policies from Year 4 cohort</t>
  </si>
  <si>
    <t>Policies from Year 5 cohort</t>
  </si>
  <si>
    <t>Total NB Premium Income (all cohorts)</t>
  </si>
  <si>
    <t>Projected Aggregate Claims (£)</t>
  </si>
  <si>
    <t>Total NB Claims Paid (all cohorts)</t>
  </si>
  <si>
    <t>New Business Profit Contribution (simplified, £)</t>
  </si>
  <si>
    <t>Premium Income</t>
  </si>
  <si>
    <t>Less: Claims</t>
  </si>
  <si>
    <t>Less: Expenses</t>
  </si>
  <si>
    <t>Less: Commission</t>
  </si>
  <si>
    <t>NB Pre-Tax Contribution</t>
  </si>
  <si>
    <t>EXISTING BUSINESS MODEL – Run-off of Current In-Force Portfolio</t>
  </si>
  <si>
    <t>Projects cashflows from policies already in-force today. The portfolio runs off over time as policies lapse, mature or result in claims. This is the 'existing business' component of the full model office.</t>
  </si>
  <si>
    <t>Current In-Force Portfolio (Model Points)</t>
  </si>
  <si>
    <t>Model Point / Segment</t>
  </si>
  <si>
    <t>Policies</t>
  </si>
  <si>
    <t>Avg Prem (£)</t>
  </si>
  <si>
    <t>Avg SA (£)</t>
  </si>
  <si>
    <t>Avg Remaining Term</t>
  </si>
  <si>
    <t>Annual Claims Est.</t>
  </si>
  <si>
    <t>MP1: Age 35, CI, 5yr rem</t>
  </si>
  <si>
    <t>MP2: Age 45, CI, 3yr rem</t>
  </si>
  <si>
    <t>MP3: Age 50, CI, 2yr rem</t>
  </si>
  <si>
    <t>Total In-Force</t>
  </si>
  <si>
    <t>Run-Off Projection (total existing portfolio, £)</t>
  </si>
  <si>
    <t>Policies In-Force (start yr)</t>
  </si>
  <si>
    <t>(+) Premium Income</t>
  </si>
  <si>
    <t>(–) Claims</t>
  </si>
  <si>
    <t>(–) Expenses</t>
  </si>
  <si>
    <t>Existing Business Profit</t>
  </si>
  <si>
    <t>FULL MODEL OFFICE – Combined New Business + Existing Business Projection</t>
  </si>
  <si>
    <t>The Full Model Office sums the new business and existing business projections. This is the key tool for management reporting, solvency assessment, embedded value, and strategic decision-making (SP1 Ch11). Green cells link from other sheets.</t>
  </si>
  <si>
    <t>5-Yr Total</t>
  </si>
  <si>
    <t>NPV @ RDR</t>
  </si>
  <si>
    <t>INCOME</t>
  </si>
  <si>
    <t>(+) New Business Premium</t>
  </si>
  <si>
    <t>(+) Existing Business Premium</t>
  </si>
  <si>
    <t>Total Premium Income</t>
  </si>
  <si>
    <t>OUTGO</t>
  </si>
  <si>
    <t>(–) New Business Claims</t>
  </si>
  <si>
    <t>(–) Existing Business Claims</t>
  </si>
  <si>
    <t>Total Claims</t>
  </si>
  <si>
    <t>PROFIT SUMMARY</t>
  </si>
  <si>
    <t>Profit Component</t>
  </si>
  <si>
    <t>New Business Profit Contribution</t>
  </si>
  <si>
    <t>Existing Business Profit Contribution</t>
  </si>
  <si>
    <t>TOTAL MODEL OFFICE PROFIT (Pre-Tax)</t>
  </si>
  <si>
    <t>Discounted Profit (NPV @ Risk Discount Rate)</t>
  </si>
  <si>
    <t>KEY METRICS SUMMARY</t>
  </si>
  <si>
    <t>5-Year Cumulative NPV of Profit (£)</t>
  </si>
  <si>
    <t>Total Policies In-Force – Year 5 (New+Existing)</t>
  </si>
  <si>
    <t>Average Annual Premium Income (£)</t>
  </si>
  <si>
    <t>Claims Ratio (5-yr avg)</t>
  </si>
  <si>
    <t>SENSITIVITY ANALYSIS GUIDE</t>
  </si>
  <si>
    <t>Test 1: Claims +10%</t>
  </si>
  <si>
    <t>Change 'Assumptions'!C10 from 0.5% to 0.55%. Observe impact on Row 19.</t>
  </si>
  <si>
    <t>Test 2: Lapse rate +5%</t>
  </si>
  <si>
    <t>Change 'Assumptions'!C12 from 7% to 12%. NB volumes reduce.</t>
  </si>
  <si>
    <t>Test 3: Investment return −1%</t>
  </si>
  <si>
    <t>Change 'Assumptions'!C16 from 4% to 3%. Reduces inv. income in profit test.</t>
  </si>
  <si>
    <t>Test 4: New biz volume −20%</t>
  </si>
  <si>
    <t>Change 'New Business'!C7:G7 downward. Tests NB sensitivity.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</si>
</sst>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b/>
      <sz val="10"/>
      <color rgb="FF2E75B6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595959"/>
      <name val="Arial"/>
      <charset val="1"/>
    </font>
    <font>
      <i/>
      <sz val="10"/>
      <color rgb="FF0000FF"/>
      <name val="Arial"/>
      <charset val="1"/>
    </font>
    <font>
      <i/>
      <sz val="10"/>
      <color rgb="FF000000"/>
      <name val="Arial"/>
      <charset val="1"/>
    </font>
    <font>
      <b/>
      <sz val="11"/>
      <name val="Arial"/>
      <charset val="1"/>
    </font>
    <font>
      <i/>
      <sz val="10"/>
      <color rgb="FF2E75B6"/>
      <name val="Arial"/>
      <charset val="1"/>
    </font>
    <font>
      <sz val="11"/>
      <color rgb="FF008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1"/>
      </patternFill>
    </fill>
    <fill>
      <patternFill patternType="solid">
        <fgColor rgb="FFED7D31"/>
        <bgColor rgb="FFFF808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8" borderId="0" xfId="0" applyFont="1" applyFill="1" applyAlignment="1">
      <alignment horizontal="left" vertical="center"/>
    </xf>
    <xf numFmtId="0" fontId="0" fillId="0" borderId="0" xfId="0"/>
    <xf numFmtId="0" fontId="8" fillId="2" borderId="0" xfId="0" applyFont="1" applyFill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/>
    <xf numFmtId="0" fontId="3" fillId="3" borderId="0" xfId="0" applyFont="1" applyFill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164" fontId="13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15" fillId="0" borderId="1" xfId="0" applyNumberFormat="1" applyFont="1" applyBorder="1" applyAlignment="1">
      <alignment horizontal="right" vertical="center"/>
    </xf>
    <xf numFmtId="165" fontId="13" fillId="7" borderId="1" xfId="0" applyNumberFormat="1" applyFont="1" applyFill="1" applyBorder="1" applyAlignment="1">
      <alignment horizontal="righ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55" customWidth="1"/>
    <col min="4" max="4" width="25" customWidth="1"/>
  </cols>
  <sheetData>
    <row r="1" spans="2:4" ht="30" customHeight="1" x14ac:dyDescent="0.3">
      <c r="B1" s="14" t="s">
        <v>0</v>
      </c>
      <c r="C1" s="14"/>
      <c r="D1" s="14"/>
    </row>
    <row r="3" spans="2:4" ht="15" customHeight="1" x14ac:dyDescent="0.3">
      <c r="B3" s="13" t="s">
        <v>1</v>
      </c>
      <c r="C3" s="13"/>
      <c r="D3" s="13"/>
    </row>
    <row r="4" spans="2:4" ht="90" customHeight="1" x14ac:dyDescent="0.3">
      <c r="B4" s="12" t="s">
        <v>2</v>
      </c>
      <c r="C4" s="12"/>
      <c r="D4" s="12"/>
    </row>
    <row r="5" spans="2:4" ht="15" customHeight="1" x14ac:dyDescent="0.3">
      <c r="B5" s="12"/>
      <c r="C5" s="12"/>
      <c r="D5" s="12"/>
    </row>
    <row r="6" spans="2:4" ht="15" customHeight="1" x14ac:dyDescent="0.3">
      <c r="B6" s="12"/>
      <c r="C6" s="12"/>
      <c r="D6" s="12"/>
    </row>
    <row r="7" spans="2:4" ht="15" customHeight="1" x14ac:dyDescent="0.3">
      <c r="B7" s="12"/>
      <c r="C7" s="12"/>
      <c r="D7" s="12"/>
    </row>
    <row r="8" spans="2:4" ht="15" customHeight="1" x14ac:dyDescent="0.3">
      <c r="B8" s="12"/>
      <c r="C8" s="12"/>
      <c r="D8" s="12"/>
    </row>
    <row r="10" spans="2:4" ht="15" customHeight="1" x14ac:dyDescent="0.3">
      <c r="B10" s="11" t="s">
        <v>3</v>
      </c>
      <c r="C10" s="11"/>
      <c r="D10" s="11"/>
    </row>
    <row r="11" spans="2:4" ht="36" customHeight="1" x14ac:dyDescent="0.3">
      <c r="B11" s="15" t="s">
        <v>4</v>
      </c>
      <c r="C11" s="16" t="s">
        <v>5</v>
      </c>
      <c r="D11" s="17" t="s">
        <v>6</v>
      </c>
    </row>
    <row r="12" spans="2:4" ht="36" customHeight="1" x14ac:dyDescent="0.3">
      <c r="B12" s="15" t="s">
        <v>7</v>
      </c>
      <c r="C12" s="16" t="s">
        <v>8</v>
      </c>
      <c r="D12" s="17" t="s">
        <v>9</v>
      </c>
    </row>
    <row r="13" spans="2:4" ht="36" customHeight="1" x14ac:dyDescent="0.3">
      <c r="B13" s="15" t="s">
        <v>10</v>
      </c>
      <c r="C13" s="16" t="s">
        <v>11</v>
      </c>
      <c r="D13" s="17" t="s">
        <v>12</v>
      </c>
    </row>
    <row r="14" spans="2:4" ht="36" customHeight="1" x14ac:dyDescent="0.3">
      <c r="B14" s="15" t="s">
        <v>13</v>
      </c>
      <c r="C14" s="16" t="s">
        <v>14</v>
      </c>
      <c r="D14" s="17" t="s">
        <v>15</v>
      </c>
    </row>
    <row r="16" spans="2:4" ht="15" customHeight="1" x14ac:dyDescent="0.3">
      <c r="B16" s="11" t="s">
        <v>16</v>
      </c>
      <c r="C16" s="11"/>
      <c r="D16" s="11"/>
    </row>
    <row r="17" spans="2:4" ht="30" customHeight="1" x14ac:dyDescent="0.3">
      <c r="B17" s="18" t="s">
        <v>17</v>
      </c>
      <c r="C17" s="10" t="s">
        <v>18</v>
      </c>
      <c r="D17" s="10"/>
    </row>
    <row r="18" spans="2:4" ht="30" customHeight="1" x14ac:dyDescent="0.3">
      <c r="B18" s="18" t="s">
        <v>19</v>
      </c>
      <c r="C18" s="10" t="s">
        <v>20</v>
      </c>
      <c r="D18" s="10"/>
    </row>
    <row r="19" spans="2:4" ht="30" customHeight="1" x14ac:dyDescent="0.3">
      <c r="B19" s="18" t="s">
        <v>21</v>
      </c>
      <c r="C19" s="10" t="s">
        <v>22</v>
      </c>
      <c r="D19" s="10"/>
    </row>
    <row r="20" spans="2:4" ht="30" customHeight="1" x14ac:dyDescent="0.3">
      <c r="B20" s="18" t="s">
        <v>23</v>
      </c>
      <c r="C20" s="10" t="s">
        <v>24</v>
      </c>
      <c r="D20" s="10"/>
    </row>
    <row r="21" spans="2:4" ht="30" customHeight="1" x14ac:dyDescent="0.3">
      <c r="B21" s="18" t="s">
        <v>25</v>
      </c>
      <c r="C21" s="10" t="s">
        <v>26</v>
      </c>
      <c r="D21" s="10"/>
    </row>
  </sheetData>
  <mergeCells count="10">
    <mergeCell ref="C17:D17"/>
    <mergeCell ref="C18:D18"/>
    <mergeCell ref="C19:D19"/>
    <mergeCell ref="C20:D20"/>
    <mergeCell ref="C21:D21"/>
    <mergeCell ref="B1:D1"/>
    <mergeCell ref="B3:D3"/>
    <mergeCell ref="B4:D8"/>
    <mergeCell ref="B10:D10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8"/>
  <sheetViews>
    <sheetView showGridLines="0" zoomScaleNormal="100" workbookViewId="0">
      <selection activeCell="C13" sqref="C13"/>
    </sheetView>
  </sheetViews>
  <sheetFormatPr defaultColWidth="8.6640625" defaultRowHeight="14.4" x14ac:dyDescent="0.3"/>
  <cols>
    <col min="1" max="1" width="3" customWidth="1"/>
    <col min="2" max="2" width="32" customWidth="1"/>
    <col min="3" max="3" width="18" customWidth="1"/>
    <col min="4" max="4" width="40" customWidth="1"/>
  </cols>
  <sheetData>
    <row r="1" spans="2:4" ht="27.75" customHeight="1" x14ac:dyDescent="0.3">
      <c r="B1" s="9" t="s">
        <v>27</v>
      </c>
      <c r="C1" s="9"/>
      <c r="D1" s="9"/>
    </row>
    <row r="3" spans="2:4" ht="15" customHeight="1" x14ac:dyDescent="0.3">
      <c r="B3" s="8" t="s">
        <v>28</v>
      </c>
      <c r="C3" s="8"/>
      <c r="D3" s="8"/>
    </row>
    <row r="4" spans="2:4" ht="15" customHeight="1" x14ac:dyDescent="0.3">
      <c r="B4" s="19" t="s">
        <v>29</v>
      </c>
      <c r="C4" s="20">
        <v>5000</v>
      </c>
      <c r="D4" s="21" t="s">
        <v>30</v>
      </c>
    </row>
    <row r="5" spans="2:4" ht="15" customHeight="1" x14ac:dyDescent="0.3">
      <c r="B5" s="19" t="s">
        <v>31</v>
      </c>
      <c r="C5" s="20">
        <v>600</v>
      </c>
      <c r="D5" s="21" t="s">
        <v>32</v>
      </c>
    </row>
    <row r="6" spans="2:4" ht="15" customHeight="1" x14ac:dyDescent="0.3">
      <c r="B6" s="19" t="s">
        <v>33</v>
      </c>
      <c r="C6" s="22">
        <v>10</v>
      </c>
      <c r="D6" s="21" t="s">
        <v>34</v>
      </c>
    </row>
    <row r="7" spans="2:4" ht="15" customHeight="1" x14ac:dyDescent="0.3">
      <c r="B7" s="19" t="s">
        <v>35</v>
      </c>
      <c r="C7" s="22">
        <v>0</v>
      </c>
      <c r="D7" s="21" t="s">
        <v>36</v>
      </c>
    </row>
    <row r="9" spans="2:4" ht="15" customHeight="1" x14ac:dyDescent="0.3">
      <c r="B9" s="8" t="s">
        <v>37</v>
      </c>
      <c r="C9" s="8"/>
      <c r="D9" s="8"/>
    </row>
    <row r="10" spans="2:4" ht="15" customHeight="1" x14ac:dyDescent="0.3">
      <c r="B10" s="19" t="s">
        <v>38</v>
      </c>
      <c r="C10" s="23">
        <v>5.0000000000000001E-3</v>
      </c>
      <c r="D10" s="21" t="s">
        <v>39</v>
      </c>
    </row>
    <row r="11" spans="2:4" ht="15" customHeight="1" x14ac:dyDescent="0.3">
      <c r="B11" s="19" t="s">
        <v>40</v>
      </c>
      <c r="C11" s="23">
        <v>2E-3</v>
      </c>
      <c r="D11" s="21" t="s">
        <v>41</v>
      </c>
    </row>
    <row r="12" spans="2:4" ht="15" customHeight="1" x14ac:dyDescent="0.3">
      <c r="B12" s="19" t="s">
        <v>42</v>
      </c>
      <c r="C12" s="23">
        <v>7.0000000000000007E-2</v>
      </c>
      <c r="D12" s="21" t="s">
        <v>43</v>
      </c>
    </row>
    <row r="13" spans="2:4" ht="15" customHeight="1" x14ac:dyDescent="0.3">
      <c r="B13" s="19" t="s">
        <v>44</v>
      </c>
      <c r="C13" s="23">
        <v>0.02</v>
      </c>
      <c r="D13" s="21" t="s">
        <v>45</v>
      </c>
    </row>
    <row r="15" spans="2:4" ht="15" customHeight="1" x14ac:dyDescent="0.3">
      <c r="B15" s="8" t="s">
        <v>46</v>
      </c>
      <c r="C15" s="8"/>
      <c r="D15" s="8"/>
    </row>
    <row r="16" spans="2:4" ht="15" customHeight="1" x14ac:dyDescent="0.3">
      <c r="B16" s="19" t="s">
        <v>47</v>
      </c>
      <c r="C16" s="23">
        <v>0.04</v>
      </c>
      <c r="D16" s="21" t="s">
        <v>48</v>
      </c>
    </row>
    <row r="17" spans="2:4" ht="15" customHeight="1" x14ac:dyDescent="0.3">
      <c r="B17" s="19" t="s">
        <v>49</v>
      </c>
      <c r="C17" s="23">
        <v>0.08</v>
      </c>
      <c r="D17" s="21" t="s">
        <v>50</v>
      </c>
    </row>
    <row r="18" spans="2:4" ht="15" customHeight="1" x14ac:dyDescent="0.3">
      <c r="B18" s="19" t="s">
        <v>51</v>
      </c>
      <c r="C18" s="20">
        <v>250</v>
      </c>
      <c r="D18" s="21" t="s">
        <v>52</v>
      </c>
    </row>
    <row r="19" spans="2:4" ht="15" customHeight="1" x14ac:dyDescent="0.3">
      <c r="B19" s="19" t="s">
        <v>53</v>
      </c>
      <c r="C19" s="20">
        <v>50</v>
      </c>
      <c r="D19" s="21" t="s">
        <v>54</v>
      </c>
    </row>
    <row r="20" spans="2:4" ht="15" customHeight="1" x14ac:dyDescent="0.3">
      <c r="B20" s="19" t="s">
        <v>55</v>
      </c>
      <c r="C20" s="23">
        <v>0.15</v>
      </c>
      <c r="D20" s="21" t="s">
        <v>56</v>
      </c>
    </row>
    <row r="21" spans="2:4" ht="15" customHeight="1" x14ac:dyDescent="0.3">
      <c r="B21" s="19" t="s">
        <v>57</v>
      </c>
      <c r="C21" s="23">
        <v>0.05</v>
      </c>
      <c r="D21" s="21" t="s">
        <v>58</v>
      </c>
    </row>
    <row r="22" spans="2:4" ht="15" customHeight="1" x14ac:dyDescent="0.3">
      <c r="B22" s="19" t="s">
        <v>59</v>
      </c>
      <c r="C22" s="23">
        <v>0.19</v>
      </c>
      <c r="D22" s="21" t="s">
        <v>60</v>
      </c>
    </row>
    <row r="24" spans="2:4" ht="15" customHeight="1" x14ac:dyDescent="0.3">
      <c r="B24" s="8" t="s">
        <v>61</v>
      </c>
      <c r="C24" s="8"/>
      <c r="D24" s="8"/>
    </row>
    <row r="25" spans="2:4" ht="15" customHeight="1" x14ac:dyDescent="0.3">
      <c r="B25" s="19" t="s">
        <v>62</v>
      </c>
      <c r="C25" s="23">
        <v>6.0000000000000001E-3</v>
      </c>
      <c r="D25" s="21" t="s">
        <v>63</v>
      </c>
    </row>
    <row r="26" spans="2:4" ht="15" customHeight="1" x14ac:dyDescent="0.3">
      <c r="B26" s="19" t="s">
        <v>64</v>
      </c>
      <c r="C26" s="23">
        <v>0.03</v>
      </c>
      <c r="D26" s="21" t="s">
        <v>65</v>
      </c>
    </row>
    <row r="28" spans="2:4" ht="15" customHeight="1" x14ac:dyDescent="0.3">
      <c r="B28" s="7" t="s">
        <v>66</v>
      </c>
      <c r="C28" s="7"/>
      <c r="D28" s="7"/>
    </row>
  </sheetData>
  <mergeCells count="6">
    <mergeCell ref="B28:D28"/>
    <mergeCell ref="B1:D1"/>
    <mergeCell ref="B3:D3"/>
    <mergeCell ref="B9:D9"/>
    <mergeCell ref="B15:D15"/>
    <mergeCell ref="B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0"/>
  <sheetViews>
    <sheetView showGridLines="0" zoomScaleNormal="100" workbookViewId="0">
      <selection activeCell="C11" sqref="C11"/>
    </sheetView>
  </sheetViews>
  <sheetFormatPr defaultColWidth="8.6640625" defaultRowHeight="14.4" x14ac:dyDescent="0.3"/>
  <cols>
    <col min="1" max="1" width="3" customWidth="1"/>
    <col min="2" max="2" width="30" customWidth="1"/>
    <col min="3" max="14" width="13" customWidth="1"/>
  </cols>
  <sheetData>
    <row r="1" spans="2:13" ht="27.75" customHeight="1" x14ac:dyDescent="0.3">
      <c r="B1" s="9" t="s">
        <v>67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2:13" ht="27.75" customHeight="1" x14ac:dyDescent="0.3">
      <c r="B3" s="6" t="s">
        <v>68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2:13" ht="15" customHeight="1" x14ac:dyDescent="0.3">
      <c r="B5" s="24" t="s">
        <v>69</v>
      </c>
      <c r="C5" s="24" t="s">
        <v>70</v>
      </c>
      <c r="D5" s="24" t="s">
        <v>71</v>
      </c>
      <c r="E5" s="24" t="s">
        <v>72</v>
      </c>
      <c r="F5" s="24" t="s">
        <v>73</v>
      </c>
      <c r="G5" s="24" t="s">
        <v>74</v>
      </c>
      <c r="H5" s="24" t="s">
        <v>75</v>
      </c>
      <c r="I5" s="24" t="s">
        <v>76</v>
      </c>
      <c r="J5" s="24" t="s">
        <v>77</v>
      </c>
      <c r="K5" s="24" t="s">
        <v>78</v>
      </c>
      <c r="L5" s="24" t="s">
        <v>79</v>
      </c>
      <c r="M5" s="24" t="s">
        <v>80</v>
      </c>
    </row>
    <row r="6" spans="2:13" ht="15" customHeight="1" x14ac:dyDescent="0.3">
      <c r="B6" s="25" t="s">
        <v>81</v>
      </c>
      <c r="C6" s="26">
        <f>1</f>
        <v>1</v>
      </c>
      <c r="D6" s="26">
        <f>C6*(1-Assumptions!C11)*(1-Assumptions!C12)*(1-Assumptions!C10)</f>
        <v>0.92349929999999991</v>
      </c>
      <c r="E6" s="26">
        <f>D6*(1-Assumptions!C11)*(1-Assumptions!C12)*(1-Assumptions!C10)</f>
        <v>0.85285095710048986</v>
      </c>
      <c r="F6" s="26">
        <f>E6*(1-Assumptions!C11)*(1-Assumptions!C12)*(1-Assumptions!C10)</f>
        <v>0.78760726188663233</v>
      </c>
      <c r="G6" s="26">
        <f>F6*(1-Assumptions!C11)*(1-Assumptions!C12)*(1-Assumptions!C10)</f>
        <v>0.72735475502722158</v>
      </c>
      <c r="H6" s="26">
        <f>G6*(1-Assumptions!C11)*(1-Assumptions!C12)*(1-Assumptions!C10)</f>
        <v>0.67171160711931055</v>
      </c>
      <c r="I6" s="26">
        <f>H6*(1-Assumptions!C11)*(1-Assumptions!C12)*(1-Assumptions!C10)</f>
        <v>0.62032519897655825</v>
      </c>
      <c r="J6" s="26">
        <f>I6*(1-Assumptions!C11)*(1-Assumptions!C12)*(1-Assumptions!C10)</f>
        <v>0.5728698870272122</v>
      </c>
      <c r="K6" s="26">
        <f>J6*(1-Assumptions!C11)*(1-Assumptions!C12)*(1-Assumptions!C10)</f>
        <v>0.52904493966070953</v>
      </c>
      <c r="L6" s="26">
        <f>K6*(1-Assumptions!C11)*(1-Assumptions!C12)*(1-Assumptions!C10)</f>
        <v>0.48857263144520746</v>
      </c>
      <c r="M6" s="25"/>
    </row>
    <row r="7" spans="2:13" ht="15" customHeight="1" x14ac:dyDescent="0.3">
      <c r="B7" s="27" t="s">
        <v>82</v>
      </c>
      <c r="C7" s="28">
        <f>C6*Assumptions!C5</f>
        <v>600</v>
      </c>
      <c r="D7" s="28">
        <f>D6*Assumptions!C5</f>
        <v>554.09957999999995</v>
      </c>
      <c r="E7" s="28">
        <f>E6*Assumptions!C5</f>
        <v>511.71057426029392</v>
      </c>
      <c r="F7" s="28">
        <f>F6*Assumptions!C5</f>
        <v>472.56435713197942</v>
      </c>
      <c r="G7" s="28">
        <f>G6*Assumptions!C5</f>
        <v>436.41285301633297</v>
      </c>
      <c r="H7" s="28">
        <f>H6*Assumptions!C5</f>
        <v>403.02696427158634</v>
      </c>
      <c r="I7" s="28">
        <f>I6*Assumptions!C5</f>
        <v>372.19511938593496</v>
      </c>
      <c r="J7" s="28">
        <f>J6*Assumptions!C5</f>
        <v>343.72193221632733</v>
      </c>
      <c r="K7" s="28">
        <f>K6*Assumptions!C5</f>
        <v>317.4269637964257</v>
      </c>
      <c r="L7" s="28">
        <f>L6*Assumptions!C5</f>
        <v>293.14357886712446</v>
      </c>
      <c r="M7" s="28">
        <f t="shared" ref="M7:M17" si="0">SUM(C7:L7)</f>
        <v>4304.3019229460051</v>
      </c>
    </row>
    <row r="8" spans="2:13" ht="15" customHeight="1" x14ac:dyDescent="0.3">
      <c r="B8" s="27" t="s">
        <v>83</v>
      </c>
      <c r="C8" s="28">
        <f>C6*Assumptions!C5*Assumptions!C16/2</f>
        <v>12</v>
      </c>
      <c r="D8" s="28">
        <f>D6*Assumptions!C5*Assumptions!C16/2</f>
        <v>11.081991599999998</v>
      </c>
      <c r="E8" s="28">
        <f>E6*Assumptions!C5*Assumptions!C16/2</f>
        <v>10.234211485205879</v>
      </c>
      <c r="F8" s="28">
        <f>F6*Assumptions!C5*Assumptions!C16/2</f>
        <v>9.4512871426395879</v>
      </c>
      <c r="G8" s="28">
        <f>G6*Assumptions!C5*Assumptions!C16/2</f>
        <v>8.7282570603266603</v>
      </c>
      <c r="H8" s="28">
        <f>H6*Assumptions!C5*Assumptions!C16/2</f>
        <v>8.0605392854317266</v>
      </c>
      <c r="I8" s="28">
        <f>I6*Assumptions!C5*Assumptions!C16/2</f>
        <v>7.4439023877186994</v>
      </c>
      <c r="J8" s="28">
        <f>J6*Assumptions!C5*Assumptions!C16/2</f>
        <v>6.8744386443265464</v>
      </c>
      <c r="K8" s="28">
        <f>K6*Assumptions!C5*Assumptions!C16/2</f>
        <v>6.3485392759285144</v>
      </c>
      <c r="L8" s="28">
        <f>L6*Assumptions!C5*Assumptions!C16/2</f>
        <v>5.8628715773424895</v>
      </c>
      <c r="M8" s="28">
        <f t="shared" si="0"/>
        <v>86.0860384589201</v>
      </c>
    </row>
    <row r="9" spans="2:13" ht="15" customHeight="1" x14ac:dyDescent="0.3">
      <c r="B9" s="27" t="s">
        <v>84</v>
      </c>
      <c r="C9" s="28">
        <f>C6*Assumptions!C18</f>
        <v>250</v>
      </c>
      <c r="D9" s="28">
        <f>0</f>
        <v>0</v>
      </c>
      <c r="E9" s="28">
        <f>0</f>
        <v>0</v>
      </c>
      <c r="F9" s="28">
        <f>0</f>
        <v>0</v>
      </c>
      <c r="G9" s="28">
        <f>0</f>
        <v>0</v>
      </c>
      <c r="H9" s="28">
        <f>0</f>
        <v>0</v>
      </c>
      <c r="I9" s="28">
        <f>0</f>
        <v>0</v>
      </c>
      <c r="J9" s="28">
        <f>0</f>
        <v>0</v>
      </c>
      <c r="K9" s="28">
        <f>0</f>
        <v>0</v>
      </c>
      <c r="L9" s="28">
        <f>0</f>
        <v>0</v>
      </c>
      <c r="M9" s="28">
        <f t="shared" si="0"/>
        <v>250</v>
      </c>
    </row>
    <row r="10" spans="2:13" ht="15" customHeight="1" x14ac:dyDescent="0.3">
      <c r="B10" s="27" t="s">
        <v>85</v>
      </c>
      <c r="C10" s="28">
        <f>C7*IF(1=1,Assumptions!C20,Assumptions!C21)</f>
        <v>90</v>
      </c>
      <c r="D10" s="28">
        <f>D7*IF(2=1,Assumptions!C20,Assumptions!C21)</f>
        <v>27.704978999999998</v>
      </c>
      <c r="E10" s="28">
        <f>E7*IF(3=1,Assumptions!C20,Assumptions!C21)</f>
        <v>25.585528713014696</v>
      </c>
      <c r="F10" s="28">
        <f>F7*IF(4=1,Assumptions!C20,Assumptions!C21)</f>
        <v>23.628217856598972</v>
      </c>
      <c r="G10" s="28">
        <f>G7*IF(5=1,Assumptions!C20,Assumptions!C21)</f>
        <v>21.820642650816652</v>
      </c>
      <c r="H10" s="28">
        <f>H7*IF(6=1,Assumptions!C20,Assumptions!C21)</f>
        <v>20.151348213579318</v>
      </c>
      <c r="I10" s="28">
        <f>I7*IF(7=1,Assumptions!C20,Assumptions!C21)</f>
        <v>18.609755969296749</v>
      </c>
      <c r="J10" s="28">
        <f>J7*IF(8=1,Assumptions!C20,Assumptions!C21)</f>
        <v>17.186096610816367</v>
      </c>
      <c r="K10" s="28">
        <f>K7*IF(9=1,Assumptions!C20,Assumptions!C21)</f>
        <v>15.871348189821285</v>
      </c>
      <c r="L10" s="28">
        <f>L7*IF(10=1,Assumptions!C20,Assumptions!C21)</f>
        <v>14.657178943356223</v>
      </c>
      <c r="M10" s="28">
        <f t="shared" si="0"/>
        <v>275.21509614730024</v>
      </c>
    </row>
    <row r="11" spans="2:13" ht="15" customHeight="1" x14ac:dyDescent="0.3">
      <c r="B11" s="27" t="s">
        <v>86</v>
      </c>
      <c r="C11" s="28">
        <f>C6*Assumptions!C10*Assumptions!C4*(1+Assumptions!C13)^(1-1)</f>
        <v>25</v>
      </c>
      <c r="D11" s="28">
        <f>D6*Assumptions!C10*Assumptions!C4*(1+Assumptions!C13)^(2-1)</f>
        <v>23.549232149999998</v>
      </c>
      <c r="E11" s="28">
        <f>E6*Assumptions!C10*Assumptions!C4*(1+Assumptions!C13)^(3-1)</f>
        <v>22.182653394183738</v>
      </c>
      <c r="F11" s="28">
        <f>F6*Assumptions!C10*Assumptions!C4*(1+Assumptions!C13)^(4-1)</f>
        <v>20.895378179304736</v>
      </c>
      <c r="G11" s="28">
        <f>G6*Assumptions!C10*Assumptions!C4*(1+Assumptions!C13)^(5-1)</f>
        <v>19.682804464259657</v>
      </c>
      <c r="H11" s="28">
        <f>H6*Assumptions!C10*Assumptions!C4*(1+Assumptions!C13)^(6-1)</f>
        <v>18.540597267676279</v>
      </c>
      <c r="I11" s="28">
        <f>I6*Assumptions!C10*Assumptions!C4*(1+Assumptions!C13)^(7-1)</f>
        <v>17.464673170246577</v>
      </c>
      <c r="J11" s="28">
        <f>J6*Assumptions!C10*Assumptions!C4*(1+Assumptions!C13)^(8-1)</f>
        <v>16.451185716400516</v>
      </c>
      <c r="K11" s="28">
        <f>K6*Assumptions!C10*Assumptions!C4*(1+Assumptions!C13)^(9-1)</f>
        <v>15.496511663131196</v>
      </c>
      <c r="L11" s="28">
        <f>L6*Assumptions!C10*Assumptions!C4*(1+Assumptions!C13)^(10-1)</f>
        <v>14.597238026810365</v>
      </c>
      <c r="M11" s="28">
        <f t="shared" si="0"/>
        <v>193.86027403201311</v>
      </c>
    </row>
    <row r="12" spans="2:13" ht="15" customHeight="1" x14ac:dyDescent="0.3">
      <c r="B12" s="27" t="s">
        <v>87</v>
      </c>
      <c r="C12" s="28">
        <f>0</f>
        <v>0</v>
      </c>
      <c r="D12" s="28">
        <f>D6*Assumptions!C19</f>
        <v>46.174964999999993</v>
      </c>
      <c r="E12" s="28">
        <f>E6*Assumptions!C19</f>
        <v>42.642547855024496</v>
      </c>
      <c r="F12" s="28">
        <f>F6*Assumptions!C19</f>
        <v>39.380363094331614</v>
      </c>
      <c r="G12" s="28">
        <f>G6*Assumptions!C19</f>
        <v>36.367737751361076</v>
      </c>
      <c r="H12" s="28">
        <f>H6*Assumptions!C19</f>
        <v>33.585580355965526</v>
      </c>
      <c r="I12" s="28">
        <f>I6*Assumptions!C19</f>
        <v>31.016259948827912</v>
      </c>
      <c r="J12" s="28">
        <f>J6*Assumptions!C19</f>
        <v>28.643494351360609</v>
      </c>
      <c r="K12" s="28">
        <f>K6*Assumptions!C19</f>
        <v>26.452246983035476</v>
      </c>
      <c r="L12" s="28">
        <f>L6*Assumptions!C19</f>
        <v>24.428631572260372</v>
      </c>
      <c r="M12" s="28">
        <f t="shared" si="0"/>
        <v>308.69182691216707</v>
      </c>
    </row>
    <row r="13" spans="2:13" ht="15" customHeight="1" x14ac:dyDescent="0.3">
      <c r="B13" s="27" t="s">
        <v>88</v>
      </c>
      <c r="C13" s="28">
        <f>C6*Assumptions!C25*Assumptions!C4*9/(1+Assumptions!C26)-IF(1&gt;1,B6*(1-Assumptions!C11)*(1-Assumptions!C12)*(1-Assumptions!C10)*Assumptions!C25*Assumptions!C4*(9+1)/(1+Assumptions!C26),0)</f>
        <v>262.13592233009706</v>
      </c>
      <c r="D13" s="28">
        <f>D6*Assumptions!C25*Assumptions!C4*8/(1+Assumptions!C26)-IF(2&gt;1,C6*(1-Assumptions!C11)*(1-Assumptions!C12)*(1-Assumptions!C10)*Assumptions!C25*Assumptions!C4*(8+1)/(1+Assumptions!C26),0)</f>
        <v>-26.898037864077679</v>
      </c>
      <c r="E13" s="28">
        <f>E6*Assumptions!C25*Assumptions!C4*7/(1+Assumptions!C26)-IF(3&gt;1,D6*(1-Assumptions!C11)*(1-Assumptions!C12)*(1-Assumptions!C10)*Assumptions!C25*Assumptions!C4*(7+1)/(1+Assumptions!C26),0)</f>
        <v>-24.840319138849196</v>
      </c>
      <c r="F13" s="28">
        <f>F6*Assumptions!C25*Assumptions!C4*6/(1+Assumptions!C26)-IF(4&gt;1,E6*(1-Assumptions!C11)*(1-Assumptions!C12)*(1-Assumptions!C10)*Assumptions!C25*Assumptions!C4*(6+1)/(1+Assumptions!C26),0)</f>
        <v>-22.940017336503871</v>
      </c>
      <c r="G13" s="28">
        <f>G6*Assumptions!C25*Assumptions!C4*5/(1+Assumptions!C26)-IF(5&gt;1,F6*(1-Assumptions!C11)*(1-Assumptions!C12)*(1-Assumptions!C10)*Assumptions!C25*Assumptions!C4*(5+1)/(1+Assumptions!C26),0)</f>
        <v>-21.185089952249186</v>
      </c>
      <c r="H13" s="28">
        <f>H6*Assumptions!C25*Assumptions!C4*4/(1+Assumptions!C26)-IF(6&gt;1,G6*(1-Assumptions!C11)*(1-Assumptions!C12)*(1-Assumptions!C10)*Assumptions!C25*Assumptions!C4*(4+1)/(1+Assumptions!C26),0)</f>
        <v>-19.564415741339147</v>
      </c>
      <c r="I13" s="28">
        <f>I6*Assumptions!C25*Assumptions!C4*3/(1+Assumptions!C26)-IF(7&gt;1,H6*(1-Assumptions!C11)*(1-Assumptions!C12)*(1-Assumptions!C10)*Assumptions!C25*Assumptions!C4*(3+1)/(1+Assumptions!C26),0)</f>
        <v>-18.067724242035666</v>
      </c>
      <c r="J13" s="28">
        <f>J6*Assumptions!C25*Assumptions!C4*2/(1+Assumptions!C26)-IF(8&gt;1,I6*(1-Assumptions!C11)*(1-Assumptions!C12)*(1-Assumptions!C10)*Assumptions!C25*Assumptions!C4*(2+1)/(1+Assumptions!C26),0)</f>
        <v>-16.685530690112977</v>
      </c>
      <c r="K13" s="28">
        <f>K6*Assumptions!C25*Assumptions!C4*1/(1+Assumptions!C26)-IF(9&gt;1,J6*(1-Assumptions!C11)*(1-Assumptions!C12)*(1-Assumptions!C10)*Assumptions!C25*Assumptions!C4*(1+1)/(1+Assumptions!C26),0)</f>
        <v>-15.40907591244785</v>
      </c>
      <c r="L13" s="28">
        <f>-(K6*(1-Assumptions!C11)*(1-Assumptions!C12)*(1-Assumptions!C10)*Assumptions!C25*Assumptions!C4*1/(1+Assumptions!C26))</f>
        <v>-14.23027081879245</v>
      </c>
      <c r="M13" s="28">
        <f t="shared" si="0"/>
        <v>82.315440633689064</v>
      </c>
    </row>
    <row r="14" spans="2:13" ht="15" customHeight="1" x14ac:dyDescent="0.3">
      <c r="B14" s="29" t="s">
        <v>89</v>
      </c>
      <c r="C14" s="30">
        <f t="shared" ref="C14:L14" si="1">C7+C8-C9-C10-C11-C12-C13</f>
        <v>-15.13592233009706</v>
      </c>
      <c r="D14" s="30">
        <f t="shared" si="1"/>
        <v>494.65043331407776</v>
      </c>
      <c r="E14" s="30">
        <f t="shared" si="1"/>
        <v>456.37437492212609</v>
      </c>
      <c r="F14" s="30">
        <f t="shared" si="1"/>
        <v>421.05170248088757</v>
      </c>
      <c r="G14" s="30">
        <f t="shared" si="1"/>
        <v>388.45501516247145</v>
      </c>
      <c r="H14" s="30">
        <f t="shared" si="1"/>
        <v>358.37439346113609</v>
      </c>
      <c r="I14" s="30">
        <f t="shared" si="1"/>
        <v>330.61605692731814</v>
      </c>
      <c r="J14" s="30">
        <f t="shared" si="1"/>
        <v>305.00112487218934</v>
      </c>
      <c r="K14" s="30">
        <f t="shared" si="1"/>
        <v>281.36447214881412</v>
      </c>
      <c r="L14" s="30">
        <f t="shared" si="1"/>
        <v>259.55367272083248</v>
      </c>
      <c r="M14" s="31">
        <f t="shared" si="0"/>
        <v>3280.3053236797559</v>
      </c>
    </row>
    <row r="15" spans="2:13" ht="15" customHeight="1" x14ac:dyDescent="0.3">
      <c r="B15" s="27" t="s">
        <v>90</v>
      </c>
      <c r="C15" s="28">
        <f>MAX(0,C14)*Assumptions!C22</f>
        <v>0</v>
      </c>
      <c r="D15" s="28">
        <f>MAX(0,D14)*Assumptions!C22</f>
        <v>93.983582329674775</v>
      </c>
      <c r="E15" s="28">
        <f>MAX(0,E14)*Assumptions!C22</f>
        <v>86.711131235203965</v>
      </c>
      <c r="F15" s="28">
        <f>MAX(0,F14)*Assumptions!C22</f>
        <v>79.999823471368643</v>
      </c>
      <c r="G15" s="28">
        <f>MAX(0,G14)*Assumptions!C22</f>
        <v>73.806452880869571</v>
      </c>
      <c r="H15" s="28">
        <f>MAX(0,H14)*Assumptions!C22</f>
        <v>68.091134757615862</v>
      </c>
      <c r="I15" s="28">
        <f>MAX(0,I14)*Assumptions!C22</f>
        <v>62.817050816190445</v>
      </c>
      <c r="J15" s="28">
        <f>MAX(0,J14)*Assumptions!C22</f>
        <v>57.950213725715976</v>
      </c>
      <c r="K15" s="28">
        <f>MAX(0,K14)*Assumptions!C22</f>
        <v>53.459249708274683</v>
      </c>
      <c r="L15" s="28">
        <f>MAX(0,L14)*Assumptions!C22</f>
        <v>49.315197816958175</v>
      </c>
      <c r="M15" s="28">
        <f t="shared" si="0"/>
        <v>626.13383674187207</v>
      </c>
    </row>
    <row r="16" spans="2:13" ht="15" customHeight="1" x14ac:dyDescent="0.3">
      <c r="B16" s="29" t="s">
        <v>91</v>
      </c>
      <c r="C16" s="30">
        <f t="shared" ref="C16:L16" si="2">C14-C15</f>
        <v>-15.13592233009706</v>
      </c>
      <c r="D16" s="30">
        <f t="shared" si="2"/>
        <v>400.66685098440297</v>
      </c>
      <c r="E16" s="30">
        <f t="shared" si="2"/>
        <v>369.6632436869221</v>
      </c>
      <c r="F16" s="30">
        <f t="shared" si="2"/>
        <v>341.05187900951893</v>
      </c>
      <c r="G16" s="30">
        <f t="shared" si="2"/>
        <v>314.64856228160187</v>
      </c>
      <c r="H16" s="30">
        <f t="shared" si="2"/>
        <v>290.28325870352023</v>
      </c>
      <c r="I16" s="30">
        <f t="shared" si="2"/>
        <v>267.79900611112771</v>
      </c>
      <c r="J16" s="30">
        <f t="shared" si="2"/>
        <v>247.05091114647337</v>
      </c>
      <c r="K16" s="30">
        <f t="shared" si="2"/>
        <v>227.90522244053943</v>
      </c>
      <c r="L16" s="30">
        <f t="shared" si="2"/>
        <v>210.23847490387431</v>
      </c>
      <c r="M16" s="31">
        <f t="shared" si="0"/>
        <v>2654.1714869378839</v>
      </c>
    </row>
    <row r="17" spans="2:13" ht="15" customHeight="1" x14ac:dyDescent="0.3">
      <c r="B17" s="25" t="s">
        <v>92</v>
      </c>
      <c r="C17" s="26">
        <f>C16/(1+Assumptions!C17)^1</f>
        <v>-14.014742898238017</v>
      </c>
      <c r="D17" s="26">
        <f>D16/(1+Assumptions!C17)^2</f>
        <v>343.5072453569984</v>
      </c>
      <c r="E17" s="26">
        <f>E16/(1+Assumptions!C17)^3</f>
        <v>293.45060115877442</v>
      </c>
      <c r="F17" s="26">
        <f>F16/(1+Assumptions!C17)^4</f>
        <v>250.68331242432049</v>
      </c>
      <c r="G17" s="26">
        <f>G16/(1+Assumptions!C17)^5</f>
        <v>214.14452445968655</v>
      </c>
      <c r="H17" s="26">
        <f>H16/(1+Assumptions!C17)^6</f>
        <v>182.92769282760906</v>
      </c>
      <c r="I17" s="26">
        <f>I16/(1+Assumptions!C17)^7</f>
        <v>156.25814792658849</v>
      </c>
      <c r="J17" s="26">
        <f>J16/(1+Assumptions!C17)^8</f>
        <v>133.47392018030189</v>
      </c>
      <c r="K17" s="26">
        <f>K16/(1+Assumptions!C17)^9</f>
        <v>114.00935212974527</v>
      </c>
      <c r="L17" s="26">
        <f>L16/(1+Assumptions!C17)^10</f>
        <v>97.381092520329886</v>
      </c>
      <c r="M17" s="32">
        <f t="shared" si="0"/>
        <v>1771.8211460861164</v>
      </c>
    </row>
    <row r="18" spans="2:13" ht="15" customHeight="1" x14ac:dyDescent="0.3">
      <c r="B18" s="33" t="s">
        <v>93</v>
      </c>
      <c r="C18" s="26">
        <f>C17</f>
        <v>-14.014742898238017</v>
      </c>
      <c r="D18" s="26">
        <f t="shared" ref="D18:L18" si="3">C18+D17</f>
        <v>329.49250245876038</v>
      </c>
      <c r="E18" s="26">
        <f t="shared" si="3"/>
        <v>622.9431036175348</v>
      </c>
      <c r="F18" s="26">
        <f t="shared" si="3"/>
        <v>873.62641604185524</v>
      </c>
      <c r="G18" s="26">
        <f t="shared" si="3"/>
        <v>1087.7709405015419</v>
      </c>
      <c r="H18" s="26">
        <f t="shared" si="3"/>
        <v>1270.6986333291509</v>
      </c>
      <c r="I18" s="26">
        <f t="shared" si="3"/>
        <v>1426.9567812557393</v>
      </c>
      <c r="J18" s="26">
        <f t="shared" si="3"/>
        <v>1560.4307014360411</v>
      </c>
      <c r="K18" s="26">
        <f t="shared" si="3"/>
        <v>1674.4400535657865</v>
      </c>
      <c r="L18" s="26">
        <f t="shared" si="3"/>
        <v>1771.8211460861164</v>
      </c>
      <c r="M18" s="32">
        <f>L18</f>
        <v>1771.8211460861164</v>
      </c>
    </row>
    <row r="20" spans="2:13" ht="30" customHeight="1" x14ac:dyDescent="0.3">
      <c r="B20" s="5" t="s">
        <v>94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</sheetData>
  <mergeCells count="3">
    <mergeCell ref="B1:M1"/>
    <mergeCell ref="B3:M3"/>
    <mergeCell ref="B20:M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7"/>
  <sheetViews>
    <sheetView showGridLines="0" topLeftCell="A4" zoomScaleNormal="100" workbookViewId="0"/>
  </sheetViews>
  <sheetFormatPr defaultColWidth="8.6640625" defaultRowHeight="14.4" x14ac:dyDescent="0.3"/>
  <cols>
    <col min="1" max="1" width="3" customWidth="1"/>
    <col min="2" max="2" width="32" customWidth="1"/>
    <col min="3" max="9" width="16" customWidth="1"/>
  </cols>
  <sheetData>
    <row r="1" spans="2:9" ht="27.75" customHeight="1" x14ac:dyDescent="0.3">
      <c r="B1" s="9" t="s">
        <v>95</v>
      </c>
      <c r="C1" s="9"/>
      <c r="D1" s="9"/>
      <c r="E1" s="9"/>
      <c r="F1" s="9"/>
      <c r="G1" s="9"/>
      <c r="H1" s="9"/>
      <c r="I1" s="9"/>
    </row>
    <row r="3" spans="2:9" ht="27.75" customHeight="1" x14ac:dyDescent="0.3">
      <c r="B3" s="6" t="s">
        <v>96</v>
      </c>
      <c r="C3" s="6"/>
      <c r="D3" s="6"/>
      <c r="E3" s="6"/>
      <c r="F3" s="6"/>
      <c r="G3" s="6"/>
      <c r="H3" s="6"/>
      <c r="I3" s="6"/>
    </row>
    <row r="5" spans="2:9" ht="15" customHeight="1" x14ac:dyDescent="0.3">
      <c r="B5" s="8" t="s">
        <v>97</v>
      </c>
      <c r="C5" s="8"/>
      <c r="D5" s="8"/>
      <c r="E5" s="8"/>
      <c r="F5" s="8"/>
      <c r="G5" s="8"/>
      <c r="H5" s="8"/>
      <c r="I5" s="8"/>
    </row>
    <row r="6" spans="2:9" ht="15" customHeight="1" x14ac:dyDescent="0.3">
      <c r="B6" s="24"/>
      <c r="C6" s="24" t="s">
        <v>70</v>
      </c>
      <c r="D6" s="24" t="s">
        <v>71</v>
      </c>
      <c r="E6" s="24" t="s">
        <v>72</v>
      </c>
      <c r="F6" s="24" t="s">
        <v>73</v>
      </c>
      <c r="G6" s="24" t="s">
        <v>74</v>
      </c>
      <c r="H6" s="24" t="s">
        <v>98</v>
      </c>
    </row>
    <row r="7" spans="2:9" ht="15" customHeight="1" x14ac:dyDescent="0.3">
      <c r="C7" s="20">
        <v>300</v>
      </c>
      <c r="D7" s="20">
        <v>330</v>
      </c>
      <c r="E7" s="20">
        <v>360</v>
      </c>
      <c r="F7" s="20">
        <v>390</v>
      </c>
      <c r="G7" s="20">
        <v>420</v>
      </c>
      <c r="H7" s="28">
        <f>SUM(C7:G7)</f>
        <v>1800</v>
      </c>
      <c r="I7" s="34" t="s">
        <v>99</v>
      </c>
    </row>
    <row r="8" spans="2:9" ht="15" customHeight="1" x14ac:dyDescent="0.3">
      <c r="I8" s="35">
        <f>(E7-D7)/D7</f>
        <v>9.0909090909090912E-2</v>
      </c>
    </row>
    <row r="9" spans="2:9" ht="15" customHeight="1" x14ac:dyDescent="0.3">
      <c r="B9" s="4" t="s">
        <v>100</v>
      </c>
      <c r="C9" s="4"/>
      <c r="D9" s="4"/>
      <c r="E9" s="4"/>
      <c r="F9" s="4"/>
      <c r="G9" s="4"/>
      <c r="H9" s="4"/>
      <c r="I9" s="4"/>
    </row>
    <row r="10" spans="2:9" ht="15" customHeight="1" x14ac:dyDescent="0.3">
      <c r="B10" s="24" t="s">
        <v>101</v>
      </c>
      <c r="C10" s="24" t="s">
        <v>102</v>
      </c>
      <c r="D10" s="24" t="s">
        <v>103</v>
      </c>
      <c r="E10" s="24" t="s">
        <v>104</v>
      </c>
      <c r="F10" s="24" t="s">
        <v>105</v>
      </c>
      <c r="G10" s="24" t="s">
        <v>106</v>
      </c>
      <c r="H10" s="24" t="s">
        <v>98</v>
      </c>
      <c r="I10" s="35">
        <f>(G7-F7)/F7</f>
        <v>7.6923076923076927E-2</v>
      </c>
    </row>
    <row r="11" spans="2:9" ht="15" customHeight="1" x14ac:dyDescent="0.3">
      <c r="B11" s="19" t="s">
        <v>107</v>
      </c>
      <c r="C11" s="28">
        <f>C7*(1-Assumptions!C11)^0*(1-Assumptions!C12)^0*(1-Assumptions!C10)^0*Assumptions!C5</f>
        <v>180000</v>
      </c>
      <c r="D11" s="28">
        <f>C7*(1-Assumptions!C11)^1*(1-Assumptions!C12)^1*(1-Assumptions!C10)^1*Assumptions!C5</f>
        <v>166229.87399999998</v>
      </c>
      <c r="E11" s="28">
        <f>C7*(1-Assumptions!C11)^2*(1-Assumptions!C12)^2*(1-Assumptions!C10)^2*Assumptions!C5</f>
        <v>153513.17227808817</v>
      </c>
      <c r="F11" s="28">
        <f>C7*(1-Assumptions!C11)^3*(1-Assumptions!C12)^3*(1-Assumptions!C10)^3*Assumptions!C5</f>
        <v>141769.30713959385</v>
      </c>
      <c r="G11" s="28">
        <f>C7*(1-Assumptions!C11)^4*(1-Assumptions!C12)^4*(1-Assumptions!C10)^4*Assumptions!C5</f>
        <v>130923.85590489992</v>
      </c>
      <c r="H11" s="28">
        <f>SUM(C11:G11)</f>
        <v>772436.20932258188</v>
      </c>
    </row>
    <row r="12" spans="2:9" ht="15" customHeight="1" x14ac:dyDescent="0.3">
      <c r="B12" s="19" t="s">
        <v>108</v>
      </c>
      <c r="C12" s="36" t="s">
        <v>99</v>
      </c>
      <c r="D12" s="28">
        <f>D7*(1-Assumptions!C11)^0*(1-Assumptions!C12)^0*(1-Assumptions!C10)^0*Assumptions!C5</f>
        <v>198000</v>
      </c>
      <c r="E12" s="28">
        <f>D7*(1-Assumptions!C11)^1*(1-Assumptions!C12)^1*(1-Assumptions!C10)^1*Assumptions!C5</f>
        <v>182852.86139999997</v>
      </c>
      <c r="F12" s="28">
        <f>D7*(1-Assumptions!C11)^2*(1-Assumptions!C12)^2*(1-Assumptions!C10)^2*Assumptions!C5</f>
        <v>168864.48950589704</v>
      </c>
      <c r="G12" s="28">
        <f>D7*(1-Assumptions!C11)^3*(1-Assumptions!C12)^3*(1-Assumptions!C10)^3*Assumptions!C5</f>
        <v>155946.2378535532</v>
      </c>
      <c r="H12" s="28">
        <f>SUM(C12:G12)</f>
        <v>705663.58875945024</v>
      </c>
    </row>
    <row r="13" spans="2:9" ht="15" customHeight="1" x14ac:dyDescent="0.3">
      <c r="B13" s="19" t="s">
        <v>109</v>
      </c>
      <c r="C13" s="36" t="s">
        <v>99</v>
      </c>
      <c r="D13" s="36" t="s">
        <v>99</v>
      </c>
      <c r="E13" s="28">
        <f>E7*(1-Assumptions!C11)^0*(1-Assumptions!C12)^0*(1-Assumptions!C10)^0*Assumptions!C5</f>
        <v>216000</v>
      </c>
      <c r="F13" s="28">
        <f>E7*(1-Assumptions!C11)^1*(1-Assumptions!C12)^1*(1-Assumptions!C10)^1*Assumptions!C5</f>
        <v>199475.84879999995</v>
      </c>
      <c r="G13" s="28">
        <f>E7*(1-Assumptions!C11)^2*(1-Assumptions!C12)^2*(1-Assumptions!C10)^2*Assumptions!C5</f>
        <v>184215.80673370586</v>
      </c>
      <c r="H13" s="28">
        <f>SUM(C13:G13)</f>
        <v>599691.65553370584</v>
      </c>
    </row>
    <row r="14" spans="2:9" ht="15" customHeight="1" x14ac:dyDescent="0.3">
      <c r="B14" s="19" t="s">
        <v>110</v>
      </c>
      <c r="C14" s="36" t="s">
        <v>99</v>
      </c>
      <c r="D14" s="36" t="s">
        <v>99</v>
      </c>
      <c r="E14" s="36" t="s">
        <v>99</v>
      </c>
      <c r="F14" s="28">
        <f>F7*(1-Assumptions!C11)^0*(1-Assumptions!C12)^0*(1-Assumptions!C10)^0*Assumptions!C5</f>
        <v>234000</v>
      </c>
      <c r="G14" s="28">
        <f>F7*(1-Assumptions!C11)^1*(1-Assumptions!C12)^1*(1-Assumptions!C10)^1*Assumptions!C5</f>
        <v>216098.83620000002</v>
      </c>
      <c r="H14" s="28">
        <f>SUM(C14:G14)</f>
        <v>450098.83620000002</v>
      </c>
    </row>
    <row r="15" spans="2:9" ht="15" customHeight="1" x14ac:dyDescent="0.3">
      <c r="B15" s="19" t="s">
        <v>111</v>
      </c>
      <c r="C15" s="36" t="s">
        <v>99</v>
      </c>
      <c r="D15" s="36" t="s">
        <v>99</v>
      </c>
      <c r="E15" s="36" t="s">
        <v>99</v>
      </c>
      <c r="F15" s="36" t="s">
        <v>99</v>
      </c>
      <c r="G15" s="28">
        <f>G7*(1-Assumptions!C11)^0*(1-Assumptions!C12)^0*(1-Assumptions!C10)^0*Assumptions!C5</f>
        <v>252000</v>
      </c>
      <c r="H15" s="28">
        <f>SUM(C15:G15)</f>
        <v>252000</v>
      </c>
    </row>
    <row r="16" spans="2:9" ht="15" customHeight="1" x14ac:dyDescent="0.3">
      <c r="B16" s="29" t="s">
        <v>112</v>
      </c>
      <c r="C16" s="31">
        <f t="shared" ref="C16:H16" si="0">SUM(C11:C15)</f>
        <v>180000</v>
      </c>
      <c r="D16" s="31">
        <f t="shared" si="0"/>
        <v>364229.87399999995</v>
      </c>
      <c r="E16" s="31">
        <f t="shared" si="0"/>
        <v>552366.0336780881</v>
      </c>
      <c r="F16" s="31">
        <f t="shared" si="0"/>
        <v>744109.64544549084</v>
      </c>
      <c r="G16" s="31">
        <f t="shared" si="0"/>
        <v>939184.73669215897</v>
      </c>
      <c r="H16" s="31">
        <f t="shared" si="0"/>
        <v>2779890.2898157379</v>
      </c>
    </row>
    <row r="18" spans="2:9" ht="15" customHeight="1" x14ac:dyDescent="0.3">
      <c r="B18" s="8" t="s">
        <v>113</v>
      </c>
      <c r="C18" s="8"/>
      <c r="D18" s="8"/>
      <c r="E18" s="8"/>
      <c r="F18" s="8"/>
      <c r="G18" s="8"/>
      <c r="H18" s="8"/>
      <c r="I18" s="8"/>
    </row>
    <row r="19" spans="2:9" ht="15" customHeight="1" x14ac:dyDescent="0.3">
      <c r="B19" s="37" t="s">
        <v>114</v>
      </c>
      <c r="C19" s="28">
        <f>C16/Assumptions!C5*Assumptions!C10*Assumptions!C4*(1+Assumptions!C13)^(1-1)</f>
        <v>7500</v>
      </c>
      <c r="D19" s="28">
        <f>D16/Assumptions!C5*Assumptions!C10*Assumptions!C4*(1+Assumptions!C13)^(2-1)</f>
        <v>15479.769644999998</v>
      </c>
      <c r="E19" s="28">
        <f>E16/Assumptions!C5*Assumptions!C10*Assumptions!C4*(1+Assumptions!C13)^(3-1)</f>
        <v>23945.067559945121</v>
      </c>
      <c r="F19" s="28">
        <f>F16/Assumptions!C5*Assumptions!C10*Assumptions!C4*(1+Assumptions!C13)^(4-1)</f>
        <v>32902.296192663271</v>
      </c>
      <c r="G19" s="28">
        <f>G16/Assumptions!C5*Assumptions!C10*Assumptions!C4*(1+Assumptions!C13)^(5-1)</f>
        <v>42358.490132363542</v>
      </c>
      <c r="H19" s="28">
        <f>SUM(C19:G19)</f>
        <v>122185.62352997193</v>
      </c>
    </row>
    <row r="21" spans="2:9" ht="15" customHeight="1" x14ac:dyDescent="0.3">
      <c r="B21" s="8" t="s">
        <v>115</v>
      </c>
      <c r="C21" s="8"/>
      <c r="D21" s="8"/>
      <c r="E21" s="8"/>
      <c r="F21" s="8"/>
      <c r="G21" s="8"/>
      <c r="H21" s="8"/>
      <c r="I21" s="8"/>
    </row>
    <row r="22" spans="2:9" ht="15" customHeight="1" x14ac:dyDescent="0.3">
      <c r="B22" s="24" t="s">
        <v>69</v>
      </c>
      <c r="C22" s="24" t="s">
        <v>70</v>
      </c>
      <c r="D22" s="24" t="s">
        <v>71</v>
      </c>
      <c r="E22" s="24" t="s">
        <v>72</v>
      </c>
      <c r="F22" s="24" t="s">
        <v>73</v>
      </c>
      <c r="G22" s="24" t="s">
        <v>74</v>
      </c>
      <c r="H22" s="24" t="s">
        <v>98</v>
      </c>
    </row>
    <row r="23" spans="2:9" ht="15" customHeight="1" x14ac:dyDescent="0.3">
      <c r="B23" s="27" t="s">
        <v>116</v>
      </c>
      <c r="C23" s="28">
        <f>C16</f>
        <v>180000</v>
      </c>
      <c r="D23" s="28">
        <f>D16</f>
        <v>364229.87399999995</v>
      </c>
      <c r="E23" s="28">
        <f>E16</f>
        <v>552366.0336780881</v>
      </c>
      <c r="F23" s="28">
        <f>F16</f>
        <v>744109.64544549084</v>
      </c>
      <c r="G23" s="28">
        <f>G16</f>
        <v>939184.73669215897</v>
      </c>
      <c r="H23" s="28">
        <f>SUM(C23:G23)</f>
        <v>2779890.2898157379</v>
      </c>
    </row>
    <row r="24" spans="2:9" ht="15" customHeight="1" x14ac:dyDescent="0.3">
      <c r="B24" s="27" t="s">
        <v>117</v>
      </c>
      <c r="C24" s="28">
        <f>-C19</f>
        <v>-7500</v>
      </c>
      <c r="D24" s="28">
        <f>-D19</f>
        <v>-15479.769644999998</v>
      </c>
      <c r="E24" s="28">
        <f>-E19</f>
        <v>-23945.067559945121</v>
      </c>
      <c r="F24" s="28">
        <f>-F19</f>
        <v>-32902.296192663271</v>
      </c>
      <c r="G24" s="28">
        <f>-G19</f>
        <v>-42358.490132363542</v>
      </c>
      <c r="H24" s="28">
        <f>SUM(C24:G24)</f>
        <v>-122185.62352997193</v>
      </c>
    </row>
    <row r="25" spans="2:9" ht="15" customHeight="1" x14ac:dyDescent="0.3">
      <c r="B25" s="27" t="s">
        <v>118</v>
      </c>
      <c r="C25" s="28">
        <f>-(C16/Assumptions!C5*(Assumptions!C18+Assumptions!C19))</f>
        <v>-90000</v>
      </c>
      <c r="D25" s="28">
        <f>-(D16/Assumptions!C5*(Assumptions!C18+Assumptions!C19))</f>
        <v>-182114.93699999998</v>
      </c>
      <c r="E25" s="28">
        <f>-(E16/Assumptions!C5*(Assumptions!C18+Assumptions!C19))</f>
        <v>-276183.01683904405</v>
      </c>
      <c r="F25" s="28">
        <f>-(F16/Assumptions!C5*(Assumptions!C18+Assumptions!C19))</f>
        <v>-372054.82272274542</v>
      </c>
      <c r="G25" s="28">
        <f>-(G16/Assumptions!C5*(Assumptions!C18+Assumptions!C19))</f>
        <v>-469592.36834607949</v>
      </c>
      <c r="H25" s="28">
        <f>SUM(C25:G25)</f>
        <v>-1389945.1449078689</v>
      </c>
    </row>
    <row r="26" spans="2:9" ht="15" customHeight="1" x14ac:dyDescent="0.3">
      <c r="B26" s="27" t="s">
        <v>119</v>
      </c>
      <c r="C26" s="28">
        <f>-C16*Assumptions!C21</f>
        <v>-9000</v>
      </c>
      <c r="D26" s="28">
        <f>-D16*Assumptions!C21</f>
        <v>-18211.493699999999</v>
      </c>
      <c r="E26" s="28">
        <f>-E16*Assumptions!C21</f>
        <v>-27618.301683904407</v>
      </c>
      <c r="F26" s="28">
        <f>-F16*Assumptions!C21</f>
        <v>-37205.482272274545</v>
      </c>
      <c r="G26" s="28">
        <f>-G16*Assumptions!C21</f>
        <v>-46959.236834607953</v>
      </c>
      <c r="H26" s="28">
        <f>SUM(C26:G26)</f>
        <v>-138994.51449078691</v>
      </c>
    </row>
    <row r="27" spans="2:9" ht="15" customHeight="1" x14ac:dyDescent="0.3">
      <c r="B27" s="29" t="s">
        <v>120</v>
      </c>
      <c r="C27" s="31">
        <f>SUM(C23:C26)</f>
        <v>73500</v>
      </c>
      <c r="D27" s="31">
        <f>SUM(D23:D26)</f>
        <v>148423.67365499999</v>
      </c>
      <c r="E27" s="31">
        <f>SUM(E23:E26)</f>
        <v>224619.64759519449</v>
      </c>
      <c r="F27" s="31">
        <f>SUM(F23:F26)</f>
        <v>301947.0442578076</v>
      </c>
      <c r="G27" s="31">
        <f>SUM(G23:G26)</f>
        <v>380274.64137910801</v>
      </c>
      <c r="H27" s="31">
        <f>SUM(C27:G27)</f>
        <v>1128765.00688711</v>
      </c>
    </row>
  </sheetData>
  <mergeCells count="6">
    <mergeCell ref="B21:I21"/>
    <mergeCell ref="B1:I1"/>
    <mergeCell ref="B3:I3"/>
    <mergeCell ref="B5:I5"/>
    <mergeCell ref="B9:I9"/>
    <mergeCell ref="B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2" customWidth="1"/>
    <col min="3" max="9" width="16" customWidth="1"/>
  </cols>
  <sheetData>
    <row r="1" spans="2:9" ht="27.75" customHeight="1" x14ac:dyDescent="0.3">
      <c r="B1" s="9" t="s">
        <v>121</v>
      </c>
      <c r="C1" s="9"/>
      <c r="D1" s="9"/>
      <c r="E1" s="9"/>
      <c r="F1" s="9"/>
      <c r="G1" s="9"/>
      <c r="H1" s="9"/>
      <c r="I1" s="9"/>
    </row>
    <row r="3" spans="2:9" ht="27.75" customHeight="1" x14ac:dyDescent="0.3">
      <c r="B3" s="6" t="s">
        <v>122</v>
      </c>
      <c r="C3" s="6"/>
      <c r="D3" s="6"/>
      <c r="E3" s="6"/>
      <c r="F3" s="6"/>
      <c r="G3" s="6"/>
      <c r="H3" s="6"/>
      <c r="I3" s="6"/>
    </row>
    <row r="5" spans="2:9" ht="15" customHeight="1" x14ac:dyDescent="0.3">
      <c r="B5" s="8" t="s">
        <v>123</v>
      </c>
      <c r="C5" s="8"/>
      <c r="D5" s="8"/>
      <c r="E5" s="8"/>
      <c r="F5" s="8"/>
      <c r="G5" s="8"/>
      <c r="H5" s="8"/>
      <c r="I5" s="8"/>
    </row>
    <row r="6" spans="2:9" ht="15" customHeight="1" x14ac:dyDescent="0.3">
      <c r="B6" s="24" t="s">
        <v>124</v>
      </c>
      <c r="C6" s="24" t="s">
        <v>125</v>
      </c>
      <c r="D6" s="24" t="s">
        <v>126</v>
      </c>
      <c r="E6" s="24" t="s">
        <v>127</v>
      </c>
      <c r="F6" s="24" t="s">
        <v>128</v>
      </c>
      <c r="G6" s="24" t="s">
        <v>129</v>
      </c>
      <c r="H6" s="24"/>
    </row>
    <row r="7" spans="2:9" ht="15" customHeight="1" x14ac:dyDescent="0.3">
      <c r="B7" s="19" t="s">
        <v>130</v>
      </c>
      <c r="C7" s="20">
        <v>800</v>
      </c>
      <c r="D7" s="20">
        <v>480</v>
      </c>
      <c r="E7" s="20">
        <v>5000</v>
      </c>
      <c r="F7" s="22">
        <v>5</v>
      </c>
      <c r="G7" s="28">
        <f>C7*Assumptions!C10*E7</f>
        <v>20000</v>
      </c>
    </row>
    <row r="8" spans="2:9" ht="15" customHeight="1" x14ac:dyDescent="0.3">
      <c r="B8" s="19" t="s">
        <v>131</v>
      </c>
      <c r="C8" s="20">
        <v>500</v>
      </c>
      <c r="D8" s="20">
        <v>600</v>
      </c>
      <c r="E8" s="20">
        <v>5000</v>
      </c>
      <c r="F8" s="22">
        <v>3</v>
      </c>
      <c r="G8" s="28">
        <f>C8*Assumptions!C10*E8</f>
        <v>12500</v>
      </c>
    </row>
    <row r="9" spans="2:9" ht="15" customHeight="1" x14ac:dyDescent="0.3">
      <c r="B9" s="19" t="s">
        <v>132</v>
      </c>
      <c r="C9" s="20">
        <v>200</v>
      </c>
      <c r="D9" s="20">
        <v>720</v>
      </c>
      <c r="E9" s="20">
        <v>5000</v>
      </c>
      <c r="F9" s="22">
        <v>2</v>
      </c>
      <c r="G9" s="28">
        <f>C9*Assumptions!C10*E9</f>
        <v>5000</v>
      </c>
    </row>
    <row r="10" spans="2:9" ht="15" customHeight="1" x14ac:dyDescent="0.3">
      <c r="B10" s="33" t="s">
        <v>133</v>
      </c>
      <c r="C10" s="32">
        <f>SUM(C7:C9)</f>
        <v>1500</v>
      </c>
      <c r="G10" s="32">
        <f>SUM(G7:G9)</f>
        <v>37500</v>
      </c>
    </row>
    <row r="12" spans="2:9" ht="15" customHeight="1" x14ac:dyDescent="0.3">
      <c r="B12" s="8" t="s">
        <v>134</v>
      </c>
      <c r="C12" s="8"/>
      <c r="D12" s="8"/>
      <c r="E12" s="8"/>
      <c r="F12" s="8"/>
      <c r="G12" s="8"/>
      <c r="H12" s="8"/>
      <c r="I12" s="8"/>
    </row>
    <row r="13" spans="2:9" ht="15" customHeight="1" x14ac:dyDescent="0.3">
      <c r="B13" s="24" t="s">
        <v>69</v>
      </c>
      <c r="C13" s="24" t="s">
        <v>70</v>
      </c>
      <c r="D13" s="24" t="s">
        <v>71</v>
      </c>
      <c r="E13" s="24" t="s">
        <v>72</v>
      </c>
      <c r="F13" s="24" t="s">
        <v>73</v>
      </c>
      <c r="G13" s="24" t="s">
        <v>74</v>
      </c>
      <c r="H13" s="24" t="s">
        <v>98</v>
      </c>
      <c r="I13" s="24"/>
    </row>
    <row r="14" spans="2:9" ht="15" customHeight="1" x14ac:dyDescent="0.3">
      <c r="B14" s="27" t="s">
        <v>135</v>
      </c>
      <c r="C14" s="28">
        <f>C10</f>
        <v>1500</v>
      </c>
      <c r="D14" s="28">
        <f>C14*(1-Assumptions!C11)*(1-Assumptions!C12)*(1-Assumptions!C10)</f>
        <v>1385.2489499999997</v>
      </c>
      <c r="E14" s="28">
        <f>D14*(1-Assumptions!C11)*(1-Assumptions!C12)*(1-Assumptions!C10)</f>
        <v>1279.2764356507346</v>
      </c>
      <c r="F14" s="28">
        <f>E14*(1-Assumptions!C11)*(1-Assumptions!C12)*(1-Assumptions!C10)</f>
        <v>1181.4108928299484</v>
      </c>
      <c r="G14" s="28">
        <f>F14*(1-Assumptions!C11)*(1-Assumptions!C12)*(1-Assumptions!C10)</f>
        <v>1091.0321325408322</v>
      </c>
    </row>
    <row r="15" spans="2:9" ht="15" customHeight="1" x14ac:dyDescent="0.3">
      <c r="B15" s="27" t="s">
        <v>136</v>
      </c>
      <c r="C15" s="28">
        <f>C14*(C7*D7+C8*D8+C9*D9)/C10</f>
        <v>828000</v>
      </c>
      <c r="D15" s="28">
        <f>D14*(C7*D7+C8*D8+C9*D9)/C10</f>
        <v>764657.42039999983</v>
      </c>
      <c r="E15" s="28">
        <f>E14*(C7*D7+C8*D8+C9*D9)/C10</f>
        <v>706160.59247920557</v>
      </c>
      <c r="F15" s="28">
        <f>F14*(C7*D7+C8*D8+C9*D9)/C10</f>
        <v>652138.81284213148</v>
      </c>
      <c r="G15" s="28">
        <f>G14*(C7*D7+C8*D8+C9*D9)/C10</f>
        <v>602249.73716253939</v>
      </c>
      <c r="H15" s="28">
        <f>SUM(C15:G15)</f>
        <v>3553206.5628838763</v>
      </c>
    </row>
    <row r="16" spans="2:9" ht="15" customHeight="1" x14ac:dyDescent="0.3">
      <c r="B16" s="27" t="s">
        <v>137</v>
      </c>
      <c r="C16" s="28">
        <f>C14*Assumptions!C10*G10/C10/Assumptions!C10*(1+Assumptions!C13)^(1-1)</f>
        <v>37500</v>
      </c>
      <c r="D16" s="28">
        <f>D14*Assumptions!C10*G10/C10/Assumptions!C10*(1+Assumptions!C13)^(2-1)</f>
        <v>35323.848224999987</v>
      </c>
      <c r="E16" s="28">
        <f>E14*Assumptions!C10*G10/C10/Assumptions!C10*(1+Assumptions!C13)^(3-1)</f>
        <v>33273.980091275604</v>
      </c>
      <c r="F16" s="28">
        <f>F14*Assumptions!C10*G10/C10/Assumptions!C10*(1+Assumptions!C13)^(4-1)</f>
        <v>31343.067268957093</v>
      </c>
      <c r="G16" s="28">
        <f>G14*Assumptions!C10*G10/C10/Assumptions!C10*(1+Assumptions!C13)^(5-1)</f>
        <v>29524.206696389483</v>
      </c>
      <c r="H16" s="28">
        <f>SUM(C16:G16)</f>
        <v>166965.10228162218</v>
      </c>
    </row>
    <row r="17" spans="2:8" ht="15" customHeight="1" x14ac:dyDescent="0.3">
      <c r="B17" s="27" t="s">
        <v>138</v>
      </c>
      <c r="C17" s="28">
        <f>C14*Assumptions!C19</f>
        <v>75000</v>
      </c>
      <c r="D17" s="28">
        <f>D14*Assumptions!C19</f>
        <v>69262.44749999998</v>
      </c>
      <c r="E17" s="28">
        <f>E14*Assumptions!C19</f>
        <v>63963.821782536732</v>
      </c>
      <c r="F17" s="28">
        <f>F14*Assumptions!C19</f>
        <v>59070.544641497414</v>
      </c>
      <c r="G17" s="28">
        <f>G14*Assumptions!C19</f>
        <v>54551.606627041612</v>
      </c>
      <c r="H17" s="28">
        <f>SUM(C17:G17)</f>
        <v>321848.42055107572</v>
      </c>
    </row>
    <row r="18" spans="2:8" ht="15" customHeight="1" x14ac:dyDescent="0.3">
      <c r="B18" s="29" t="s">
        <v>139</v>
      </c>
      <c r="C18" s="31">
        <f>C15-C16-C17</f>
        <v>715500</v>
      </c>
      <c r="D18" s="31">
        <f>D15-D16-D17</f>
        <v>660071.12467499985</v>
      </c>
      <c r="E18" s="31">
        <f>E15-E16-E17</f>
        <v>608922.79060539324</v>
      </c>
      <c r="F18" s="31">
        <f>F15-F16-F17</f>
        <v>561725.20093167701</v>
      </c>
      <c r="G18" s="31">
        <f>G15-G16-G17</f>
        <v>518173.92383910832</v>
      </c>
      <c r="H18" s="31">
        <f>SUM(C18:G18)</f>
        <v>3064393.0400511781</v>
      </c>
    </row>
  </sheetData>
  <mergeCells count="4">
    <mergeCell ref="B1:I1"/>
    <mergeCell ref="B3:I3"/>
    <mergeCell ref="B5:I5"/>
    <mergeCell ref="B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2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42.44140625" bestFit="1" customWidth="1"/>
    <col min="3" max="10" width="16" customWidth="1"/>
  </cols>
  <sheetData>
    <row r="1" spans="2:10" ht="31.5" customHeight="1" x14ac:dyDescent="0.3">
      <c r="B1" s="9" t="s">
        <v>140</v>
      </c>
      <c r="C1" s="9"/>
      <c r="D1" s="9"/>
      <c r="E1" s="9"/>
      <c r="F1" s="9"/>
      <c r="G1" s="9"/>
      <c r="H1" s="9"/>
      <c r="I1" s="9"/>
      <c r="J1" s="9"/>
    </row>
    <row r="3" spans="2:10" ht="27.75" customHeight="1" x14ac:dyDescent="0.3">
      <c r="B3" s="6" t="s">
        <v>141</v>
      </c>
      <c r="C3" s="6"/>
      <c r="D3" s="6"/>
      <c r="E3" s="6"/>
      <c r="F3" s="6"/>
      <c r="G3" s="6"/>
      <c r="H3" s="6"/>
      <c r="I3" s="6"/>
      <c r="J3" s="6"/>
    </row>
    <row r="5" spans="2:10" ht="15" customHeight="1" x14ac:dyDescent="0.3">
      <c r="B5" s="24" t="s">
        <v>69</v>
      </c>
      <c r="C5" s="24" t="s">
        <v>70</v>
      </c>
      <c r="D5" s="24" t="s">
        <v>71</v>
      </c>
      <c r="E5" s="24" t="s">
        <v>72</v>
      </c>
      <c r="F5" s="24" t="s">
        <v>73</v>
      </c>
      <c r="G5" s="24" t="s">
        <v>74</v>
      </c>
      <c r="H5" s="24" t="s">
        <v>142</v>
      </c>
      <c r="I5" s="24" t="s">
        <v>143</v>
      </c>
      <c r="J5" s="24"/>
    </row>
    <row r="6" spans="2:10" ht="15" customHeight="1" x14ac:dyDescent="0.3">
      <c r="B6" s="8" t="s">
        <v>144</v>
      </c>
      <c r="C6" s="8"/>
      <c r="D6" s="8"/>
      <c r="E6" s="8"/>
      <c r="F6" s="8"/>
      <c r="G6" s="8"/>
      <c r="H6" s="8"/>
      <c r="I6" s="8"/>
      <c r="J6" s="8"/>
    </row>
    <row r="7" spans="2:10" ht="15" customHeight="1" x14ac:dyDescent="0.3">
      <c r="B7" s="27" t="s">
        <v>145</v>
      </c>
      <c r="C7" s="28">
        <f>'New Business'!C16</f>
        <v>180000</v>
      </c>
      <c r="D7" s="28">
        <f>'New Business'!D16</f>
        <v>364229.87399999995</v>
      </c>
      <c r="E7" s="28">
        <f>'New Business'!E16</f>
        <v>552366.0336780881</v>
      </c>
      <c r="F7" s="28">
        <f>'New Business'!F16</f>
        <v>744109.64544549084</v>
      </c>
      <c r="G7" s="28">
        <f>'New Business'!G16</f>
        <v>939184.73669215897</v>
      </c>
      <c r="H7" s="28">
        <f>SUM(C7:G7)</f>
        <v>2779890.2898157379</v>
      </c>
      <c r="I7" s="28">
        <f>C7/(1+Assumptions!C17)^1+D7/(1+Assumptions!C17)^2+E7/(1+Assumptions!C17)^3+F7/(1+Assumptions!C17)^4+G7/(1+Assumptions!C17)^5</f>
        <v>2103557.1973980661</v>
      </c>
    </row>
    <row r="8" spans="2:10" ht="15" customHeight="1" x14ac:dyDescent="0.3">
      <c r="B8" s="27" t="s">
        <v>146</v>
      </c>
      <c r="C8" s="28">
        <f>'Existing Business'!C15</f>
        <v>828000</v>
      </c>
      <c r="D8" s="28">
        <f>'Existing Business'!D15</f>
        <v>764657.42039999983</v>
      </c>
      <c r="E8" s="28">
        <f>'Existing Business'!E15</f>
        <v>706160.59247920557</v>
      </c>
      <c r="F8" s="28">
        <f>'Existing Business'!F15</f>
        <v>652138.81284213148</v>
      </c>
      <c r="G8" s="28">
        <f>'Existing Business'!G15</f>
        <v>602249.73716253939</v>
      </c>
      <c r="H8" s="28">
        <f>SUM(C8:G8)</f>
        <v>3553206.5628838763</v>
      </c>
      <c r="I8" s="28">
        <f>C8/(1+Assumptions!C17)^1+D8/(1+Assumptions!C17)^2+E8/(1+Assumptions!C17)^3+F8/(1+Assumptions!C17)^4+G8/(1+Assumptions!C17)^5</f>
        <v>2872032.7501923298</v>
      </c>
    </row>
    <row r="9" spans="2:10" ht="15" customHeight="1" x14ac:dyDescent="0.3">
      <c r="B9" s="33" t="s">
        <v>147</v>
      </c>
      <c r="C9" s="32">
        <f>C7+C8</f>
        <v>1008000</v>
      </c>
      <c r="D9" s="32">
        <f>D7+D8</f>
        <v>1128887.2943999998</v>
      </c>
      <c r="E9" s="32">
        <f>E7+E8</f>
        <v>1258526.6261572936</v>
      </c>
      <c r="F9" s="32">
        <f>F7+F8</f>
        <v>1396248.4582876223</v>
      </c>
      <c r="G9" s="32">
        <f>G7+G8</f>
        <v>1541434.4738546982</v>
      </c>
      <c r="H9" s="32">
        <f>SUM(C9:G9)</f>
        <v>6333096.8526996141</v>
      </c>
      <c r="I9" s="32">
        <f>C9/(1+Assumptions!C17)^1+D9/(1+Assumptions!C17)^2+E9/(1+Assumptions!C17)^3+F9/(1+Assumptions!C17)^4+G9/(1+Assumptions!C17)^5</f>
        <v>4975589.9475903958</v>
      </c>
    </row>
    <row r="10" spans="2:10" ht="15" customHeight="1" x14ac:dyDescent="0.3">
      <c r="B10" s="8" t="s">
        <v>148</v>
      </c>
      <c r="C10" s="8"/>
      <c r="D10" s="8"/>
      <c r="E10" s="8"/>
      <c r="F10" s="8"/>
      <c r="G10" s="8"/>
      <c r="H10" s="8"/>
      <c r="I10" s="8"/>
      <c r="J10" s="8"/>
    </row>
    <row r="11" spans="2:10" ht="15" customHeight="1" x14ac:dyDescent="0.3">
      <c r="B11" s="27" t="s">
        <v>149</v>
      </c>
      <c r="C11" s="28">
        <f>'New Business'!C19</f>
        <v>7500</v>
      </c>
      <c r="D11" s="28">
        <f>'New Business'!D19</f>
        <v>15479.769644999998</v>
      </c>
      <c r="E11" s="28">
        <f>'New Business'!E19</f>
        <v>23945.067559945121</v>
      </c>
      <c r="F11" s="28">
        <f>'New Business'!F19</f>
        <v>32902.296192663271</v>
      </c>
      <c r="G11" s="28">
        <f>'New Business'!G19</f>
        <v>42358.490132363542</v>
      </c>
      <c r="H11" s="28">
        <f>SUM(C11:G11)</f>
        <v>122185.62352997193</v>
      </c>
      <c r="I11" s="28">
        <f>C11/(1+Assumptions!C17)^1+D11/(1+Assumptions!C17)^2+E11/(1+Assumptions!C17)^3+F11/(1+Assumptions!C17)^4+G11/(1+Assumptions!C17)^5</f>
        <v>92236.865095887944</v>
      </c>
    </row>
    <row r="12" spans="2:10" ht="15" customHeight="1" x14ac:dyDescent="0.3">
      <c r="B12" s="27" t="s">
        <v>150</v>
      </c>
      <c r="C12" s="28">
        <f>'Existing Business'!C16</f>
        <v>37500</v>
      </c>
      <c r="D12" s="28">
        <f>'Existing Business'!D16</f>
        <v>35323.848224999987</v>
      </c>
      <c r="E12" s="28">
        <f>'Existing Business'!E16</f>
        <v>33273.980091275604</v>
      </c>
      <c r="F12" s="28">
        <f>'Existing Business'!F16</f>
        <v>31343.067268957093</v>
      </c>
      <c r="G12" s="28">
        <f>'Existing Business'!G16</f>
        <v>29524.206696389483</v>
      </c>
      <c r="H12" s="28">
        <f>SUM(C12:G12)</f>
        <v>166965.10228162218</v>
      </c>
      <c r="I12" s="28">
        <f>C12/(1+Assumptions!C17)^1+D12/(1+Assumptions!C17)^2+E12/(1+Assumptions!C17)^3+F12/(1+Assumptions!C17)^4+G12/(1+Assumptions!C17)^5</f>
        <v>134552.45587568573</v>
      </c>
    </row>
    <row r="13" spans="2:10" ht="15" customHeight="1" x14ac:dyDescent="0.3">
      <c r="B13" s="33" t="s">
        <v>151</v>
      </c>
      <c r="C13" s="32">
        <f>C11+C12</f>
        <v>45000</v>
      </c>
      <c r="D13" s="32">
        <f>D11+D12</f>
        <v>50803.617869999987</v>
      </c>
      <c r="E13" s="32">
        <f>E11+E12</f>
        <v>57219.047651220724</v>
      </c>
      <c r="F13" s="32">
        <f>F11+F12</f>
        <v>64245.363461620364</v>
      </c>
      <c r="G13" s="32">
        <f>G11+G12</f>
        <v>71882.696828753018</v>
      </c>
      <c r="H13" s="32">
        <f>SUM(C13:G13)</f>
        <v>289150.72581159405</v>
      </c>
      <c r="I13" s="32">
        <f>C13/(1+Assumptions!C17)^1+D13/(1+Assumptions!C17)^2+E13/(1+Assumptions!C17)^3+F13/(1+Assumptions!C17)^4+G13/(1+Assumptions!C17)^5</f>
        <v>226789.32097157367</v>
      </c>
    </row>
    <row r="15" spans="2:10" ht="15" customHeight="1" x14ac:dyDescent="0.3">
      <c r="B15" s="3" t="s">
        <v>152</v>
      </c>
      <c r="C15" s="3"/>
      <c r="D15" s="3"/>
      <c r="E15" s="3"/>
      <c r="F15" s="3"/>
      <c r="G15" s="3"/>
      <c r="H15" s="3"/>
      <c r="I15" s="3"/>
      <c r="J15" s="3"/>
    </row>
    <row r="16" spans="2:10" ht="15" customHeight="1" x14ac:dyDescent="0.3">
      <c r="B16" s="24" t="s">
        <v>153</v>
      </c>
      <c r="C16" s="24" t="s">
        <v>70</v>
      </c>
      <c r="D16" s="24" t="s">
        <v>71</v>
      </c>
      <c r="E16" s="24" t="s">
        <v>72</v>
      </c>
      <c r="F16" s="24" t="s">
        <v>73</v>
      </c>
      <c r="G16" s="24" t="s">
        <v>74</v>
      </c>
      <c r="H16" s="24" t="s">
        <v>142</v>
      </c>
      <c r="I16" s="24" t="s">
        <v>143</v>
      </c>
      <c r="J16" s="24"/>
    </row>
    <row r="17" spans="2:10" ht="15" customHeight="1" x14ac:dyDescent="0.3">
      <c r="B17" s="27" t="s">
        <v>154</v>
      </c>
      <c r="C17" s="38">
        <f>'New Business'!C27</f>
        <v>73500</v>
      </c>
      <c r="D17" s="38">
        <f>'New Business'!D27</f>
        <v>148423.67365499999</v>
      </c>
      <c r="E17" s="38">
        <f>'New Business'!E27</f>
        <v>224619.64759519449</v>
      </c>
      <c r="F17" s="38">
        <f>'New Business'!F27</f>
        <v>301947.0442578076</v>
      </c>
      <c r="G17" s="38">
        <f>'New Business'!G27</f>
        <v>380274.64137910801</v>
      </c>
      <c r="H17" s="28">
        <f>SUM(C17:G17)</f>
        <v>1128765.00688711</v>
      </c>
      <c r="I17" s="28">
        <f>C17/(1+Assumptions!C17)^1+D17/(1+Assumptions!C17)^2+E17/(1+Assumptions!C17)^3+F17/(1+Assumptions!C17)^4+G17/(1+Assumptions!C17)^5</f>
        <v>854363.87373324169</v>
      </c>
    </row>
    <row r="18" spans="2:10" ht="15" customHeight="1" x14ac:dyDescent="0.3">
      <c r="B18" s="27" t="s">
        <v>155</v>
      </c>
      <c r="C18" s="38">
        <f>'Existing Business'!C18</f>
        <v>715500</v>
      </c>
      <c r="D18" s="38">
        <f>'Existing Business'!D18</f>
        <v>660071.12467499985</v>
      </c>
      <c r="E18" s="38">
        <f>'Existing Business'!E18</f>
        <v>608922.79060539324</v>
      </c>
      <c r="F18" s="38">
        <f>'Existing Business'!F18</f>
        <v>561725.20093167701</v>
      </c>
      <c r="G18" s="38">
        <f>'Existing Business'!G18</f>
        <v>518173.92383910832</v>
      </c>
      <c r="H18" s="28">
        <f>SUM(C18:G18)</f>
        <v>3064393.0400511781</v>
      </c>
      <c r="I18" s="28">
        <f>C18/(1+Assumptions!C17)^1+D18/(1+Assumptions!C17)^2+E18/(1+Assumptions!C17)^3+F18/(1+Assumptions!C17)^4+G18/(1+Assumptions!C17)^5</f>
        <v>2477332.4002774837</v>
      </c>
    </row>
    <row r="19" spans="2:10" ht="15" customHeight="1" x14ac:dyDescent="0.3">
      <c r="B19" s="29" t="s">
        <v>156</v>
      </c>
      <c r="C19" s="31">
        <f>C17+C18</f>
        <v>789000</v>
      </c>
      <c r="D19" s="31">
        <f>D17+D18</f>
        <v>808494.7983299999</v>
      </c>
      <c r="E19" s="31">
        <f>E17+E18</f>
        <v>833542.43820058776</v>
      </c>
      <c r="F19" s="31">
        <f>F17+F18</f>
        <v>863672.24518948467</v>
      </c>
      <c r="G19" s="31">
        <f>G17+G18</f>
        <v>898448.56521821627</v>
      </c>
      <c r="H19" s="31">
        <f>SUM(C19:G19)</f>
        <v>4193158.0469382885</v>
      </c>
      <c r="I19" s="31">
        <f>C19/(1+Assumptions!C17)^1+D19/(1+Assumptions!C17)^2+E19/(1+Assumptions!C17)^3+F19/(1+Assumptions!C17)^4+G19/(1+Assumptions!C17)^5</f>
        <v>3331696.2740107258</v>
      </c>
    </row>
    <row r="20" spans="2:10" ht="15" customHeight="1" x14ac:dyDescent="0.3">
      <c r="B20" s="33" t="s">
        <v>157</v>
      </c>
      <c r="C20" s="26">
        <f>C19/(1+Assumptions!C17)^1</f>
        <v>730555.5555555555</v>
      </c>
      <c r="D20" s="26">
        <f>D19/(1+Assumptions!C17)^2</f>
        <v>693153.97662037017</v>
      </c>
      <c r="E20" s="26">
        <f>E19/(1+Assumptions!C17)^3</f>
        <v>661692.86170218885</v>
      </c>
      <c r="F20" s="26">
        <f>F19/(1+Assumptions!C17)^4</f>
        <v>634824.88324600924</v>
      </c>
      <c r="G20" s="26">
        <f>G19/(1+Assumptions!C17)^5</f>
        <v>611468.99688660202</v>
      </c>
      <c r="H20" s="32">
        <f>SUM(C20:G20)</f>
        <v>3331696.2740107258</v>
      </c>
      <c r="I20" s="32">
        <f>C20/(1+Assumptions!C17)^1+D20/(1+Assumptions!C17)^2+E20/(1+Assumptions!C17)^3+F20/(1+Assumptions!C17)^4+G20/(1+Assumptions!C17)^5</f>
        <v>2678752.0343653481</v>
      </c>
    </row>
    <row r="22" spans="2:10" ht="15" customHeight="1" x14ac:dyDescent="0.3">
      <c r="B22" s="3" t="s">
        <v>158</v>
      </c>
      <c r="C22" s="3"/>
      <c r="D22" s="3"/>
      <c r="E22" s="3"/>
      <c r="F22" s="3"/>
      <c r="G22" s="3"/>
      <c r="H22" s="3"/>
      <c r="I22" s="3"/>
      <c r="J22" s="3"/>
    </row>
    <row r="23" spans="2:10" ht="15" customHeight="1" x14ac:dyDescent="0.3">
      <c r="B23" s="19" t="s">
        <v>159</v>
      </c>
      <c r="C23" s="31">
        <f>I20</f>
        <v>2678752.0343653481</v>
      </c>
      <c r="D23" s="2"/>
      <c r="E23" s="2"/>
      <c r="F23" s="2"/>
      <c r="G23" s="2"/>
      <c r="H23" s="2"/>
      <c r="I23" s="2"/>
      <c r="J23" s="2"/>
    </row>
    <row r="24" spans="2:10" ht="15" customHeight="1" x14ac:dyDescent="0.3">
      <c r="B24" s="19" t="s">
        <v>160</v>
      </c>
      <c r="C24" s="31">
        <f>'Existing Business'!G14+'New Business'!G7</f>
        <v>1511.0321325408322</v>
      </c>
      <c r="D24" s="2"/>
      <c r="E24" s="2"/>
      <c r="F24" s="2"/>
      <c r="G24" s="2"/>
      <c r="H24" s="2"/>
      <c r="I24" s="2"/>
      <c r="J24" s="2"/>
    </row>
    <row r="25" spans="2:10" ht="15" customHeight="1" x14ac:dyDescent="0.3">
      <c r="B25" s="19" t="s">
        <v>161</v>
      </c>
      <c r="C25" s="31">
        <f>H9/5</f>
        <v>1266619.3705399227</v>
      </c>
      <c r="D25" s="2"/>
      <c r="E25" s="2"/>
      <c r="F25" s="2"/>
      <c r="G25" s="2"/>
      <c r="H25" s="2"/>
      <c r="I25" s="2"/>
      <c r="J25" s="2"/>
    </row>
    <row r="26" spans="2:10" ht="15" customHeight="1" x14ac:dyDescent="0.3">
      <c r="B26" s="19" t="s">
        <v>162</v>
      </c>
      <c r="C26" s="39">
        <f>H13/H9</f>
        <v>4.565708255169626E-2</v>
      </c>
      <c r="D26" s="2"/>
      <c r="E26" s="2"/>
      <c r="F26" s="2"/>
      <c r="G26" s="2"/>
      <c r="H26" s="2"/>
      <c r="I26" s="2"/>
      <c r="J26" s="2"/>
    </row>
    <row r="28" spans="2:10" ht="19.5" customHeight="1" x14ac:dyDescent="0.3">
      <c r="B28" s="1" t="s">
        <v>163</v>
      </c>
      <c r="C28" s="1"/>
      <c r="D28" s="1"/>
      <c r="E28" s="1"/>
      <c r="F28" s="1"/>
      <c r="G28" s="1"/>
      <c r="H28" s="1"/>
      <c r="I28" s="1"/>
      <c r="J28" s="1"/>
    </row>
    <row r="29" spans="2:10" ht="21.75" customHeight="1" x14ac:dyDescent="0.3">
      <c r="B29" s="37" t="s">
        <v>164</v>
      </c>
      <c r="C29" s="40" t="s">
        <v>165</v>
      </c>
      <c r="D29" s="40"/>
      <c r="E29" s="40"/>
      <c r="F29" s="40"/>
      <c r="G29" s="40"/>
      <c r="H29" s="40"/>
      <c r="I29" s="40"/>
      <c r="J29" s="40"/>
    </row>
    <row r="30" spans="2:10" ht="21.75" customHeight="1" x14ac:dyDescent="0.3">
      <c r="B30" s="37" t="s">
        <v>166</v>
      </c>
      <c r="C30" s="40" t="s">
        <v>167</v>
      </c>
      <c r="D30" s="40"/>
      <c r="E30" s="40"/>
      <c r="F30" s="40"/>
      <c r="G30" s="40"/>
      <c r="H30" s="40"/>
      <c r="I30" s="40"/>
      <c r="J30" s="40"/>
    </row>
    <row r="31" spans="2:10" ht="21.75" customHeight="1" x14ac:dyDescent="0.3">
      <c r="B31" s="37" t="s">
        <v>168</v>
      </c>
      <c r="C31" s="40" t="s">
        <v>169</v>
      </c>
      <c r="D31" s="40"/>
      <c r="E31" s="40"/>
      <c r="F31" s="40"/>
      <c r="G31" s="40"/>
      <c r="H31" s="40"/>
      <c r="I31" s="40"/>
      <c r="J31" s="40"/>
    </row>
    <row r="32" spans="2:10" ht="21.75" customHeight="1" x14ac:dyDescent="0.3">
      <c r="B32" s="37" t="s">
        <v>170</v>
      </c>
      <c r="C32" s="40" t="s">
        <v>171</v>
      </c>
      <c r="D32" s="40"/>
      <c r="E32" s="40"/>
      <c r="F32" s="40"/>
      <c r="G32" s="40"/>
      <c r="H32" s="40"/>
      <c r="I32" s="40"/>
      <c r="J32" s="40"/>
    </row>
  </sheetData>
  <mergeCells count="15">
    <mergeCell ref="B28:J28"/>
    <mergeCell ref="C29:J29"/>
    <mergeCell ref="C30:J30"/>
    <mergeCell ref="C31:J31"/>
    <mergeCell ref="C32:J32"/>
    <mergeCell ref="B22:J22"/>
    <mergeCell ref="D23:J23"/>
    <mergeCell ref="D24:J24"/>
    <mergeCell ref="D25:J25"/>
    <mergeCell ref="D26:J26"/>
    <mergeCell ref="B1:J1"/>
    <mergeCell ref="B3:J3"/>
    <mergeCell ref="B6:J6"/>
    <mergeCell ref="B10:J10"/>
    <mergeCell ref="B15:J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Assumptions</vt:lpstr>
      <vt:lpstr>Single Policy Profit Test</vt:lpstr>
      <vt:lpstr>New Business</vt:lpstr>
      <vt:lpstr>Existing Business</vt:lpstr>
      <vt:lpstr>Model 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Rao</cp:lastModifiedBy>
  <cp:revision>0</cp:revision>
  <dcterms:created xsi:type="dcterms:W3CDTF">2026-04-14T10:21:38Z</dcterms:created>
  <dcterms:modified xsi:type="dcterms:W3CDTF">2026-04-14T10:36:25Z</dcterms:modified>
  <dc:language>en-US</dc:language>
</cp:coreProperties>
</file>