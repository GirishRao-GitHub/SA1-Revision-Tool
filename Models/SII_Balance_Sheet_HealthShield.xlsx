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Girish\IAI\SP1 and SA1 Health and Care\Practice papers\Claude Widgets\Models\"/>
    </mc:Choice>
  </mc:AlternateContent>
  <xr:revisionPtr revIDLastSave="0" documentId="13_ncr:1_{F5456A29-17C1-4EE2-BB0C-99231F36EC99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Cover" sheetId="1" r:id="rId1"/>
    <sheet name="SII Balance Sheet" sheetId="2" r:id="rId2"/>
    <sheet name="SCR &amp; Own Funds" sheetId="3" r:id="rId3"/>
    <sheet name="Assumptions &amp; Notes" sheetId="4" r:id="rId4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4" i="3" l="1"/>
  <c r="C56" i="3" s="1"/>
  <c r="D46" i="3"/>
  <c r="D40" i="3"/>
  <c r="C40" i="3"/>
  <c r="C46" i="3" s="1"/>
  <c r="D35" i="3"/>
  <c r="C35" i="3"/>
  <c r="D30" i="3"/>
  <c r="C30" i="3"/>
  <c r="D21" i="3"/>
  <c r="C21" i="3"/>
  <c r="D14" i="3"/>
  <c r="D42" i="3" s="1"/>
  <c r="D45" i="3" s="1"/>
  <c r="D49" i="3" s="1"/>
  <c r="C14" i="3"/>
  <c r="C42" i="3" s="1"/>
  <c r="C45" i="3" s="1"/>
  <c r="C49" i="3" s="1"/>
  <c r="D92" i="2"/>
  <c r="E90" i="2"/>
  <c r="E89" i="2"/>
  <c r="E88" i="2"/>
  <c r="E87" i="2"/>
  <c r="E86" i="2"/>
  <c r="E85" i="2"/>
  <c r="E84" i="2"/>
  <c r="E83" i="2"/>
  <c r="E82" i="2"/>
  <c r="E81" i="2"/>
  <c r="E80" i="2"/>
  <c r="D77" i="2"/>
  <c r="C77" i="2"/>
  <c r="C92" i="2" s="1"/>
  <c r="E75" i="2"/>
  <c r="E74" i="2"/>
  <c r="E73" i="2"/>
  <c r="E72" i="2"/>
  <c r="E71" i="2"/>
  <c r="E70" i="2"/>
  <c r="E69" i="2"/>
  <c r="E66" i="2"/>
  <c r="E65" i="2"/>
  <c r="E64" i="2"/>
  <c r="E63" i="2"/>
  <c r="E62" i="2"/>
  <c r="E61" i="2"/>
  <c r="E60" i="2"/>
  <c r="D56" i="2"/>
  <c r="C56" i="2"/>
  <c r="C95" i="2" s="1"/>
  <c r="C100" i="2" s="1"/>
  <c r="E103" i="2" s="1"/>
  <c r="E54" i="2"/>
  <c r="E53" i="2"/>
  <c r="E52" i="2"/>
  <c r="E51" i="2"/>
  <c r="E48" i="2"/>
  <c r="E47" i="2"/>
  <c r="E46" i="2"/>
  <c r="E45" i="2"/>
  <c r="E42" i="2"/>
  <c r="E41" i="2"/>
  <c r="E40" i="2"/>
  <c r="E39" i="2"/>
  <c r="E38" i="2"/>
  <c r="E37" i="2"/>
  <c r="E34" i="2"/>
  <c r="E33" i="2"/>
  <c r="E32" i="2"/>
  <c r="E29" i="2"/>
  <c r="E28" i="2"/>
  <c r="E27" i="2"/>
  <c r="E26" i="2"/>
  <c r="E25" i="2"/>
  <c r="E24" i="2"/>
  <c r="E23" i="2"/>
  <c r="E22" i="2"/>
  <c r="E19" i="2"/>
  <c r="E18" i="2"/>
  <c r="E17" i="2"/>
  <c r="E14" i="2"/>
  <c r="E13" i="2"/>
  <c r="E10" i="2"/>
  <c r="E9" i="2"/>
  <c r="E8" i="2"/>
  <c r="C51" i="3" l="1"/>
  <c r="C59" i="3" s="1"/>
  <c r="C107" i="2"/>
  <c r="E92" i="2"/>
  <c r="C55" i="3"/>
  <c r="C58" i="3" s="1"/>
  <c r="C106" i="2"/>
  <c r="C108" i="2" s="1"/>
  <c r="E56" i="2"/>
  <c r="E77" i="2"/>
</calcChain>
</file>

<file path=xl/sharedStrings.xml><?xml version="1.0" encoding="utf-8"?>
<sst xmlns="http://schemas.openxmlformats.org/spreadsheetml/2006/main" count="227" uniqueCount="223">
  <si>
    <t>HealthShield Insurance plc</t>
  </si>
  <si>
    <t>Solvency II – Quantitative Reporting Template</t>
  </si>
  <si>
    <t>Balance Sheet (S.02.01.02) — Year-end 31 December 2024</t>
  </si>
  <si>
    <t>Entity:</t>
  </si>
  <si>
    <t>HealthShield Insurance plc (fictitious)</t>
  </si>
  <si>
    <t>Reporting date:</t>
  </si>
  <si>
    <t>31 December 2024</t>
  </si>
  <si>
    <t>Currency:</t>
  </si>
  <si>
    <t>GBP (£ thousands)</t>
  </si>
  <si>
    <t>Valuation basis:</t>
  </si>
  <si>
    <t>Solvency II (Directive 2009/138/EC)</t>
  </si>
  <si>
    <t>Products:</t>
  </si>
  <si>
    <t>Long-term: Income Protection, Critical Illness, Long-term Care</t>
  </si>
  <si>
    <t>Short-term: Private Medical Insurance (PMI), Accident &amp; Health</t>
  </si>
  <si>
    <t>Reinsurance:</t>
  </si>
  <si>
    <t>Quota Share &amp; Excess of Loss (Life &amp; Non-life)</t>
  </si>
  <si>
    <t>Prepared by:</t>
  </si>
  <si>
    <t>Actuarial &amp; Finance, HealthShield Insurance plc</t>
  </si>
  <si>
    <t>COLOUR CODING</t>
  </si>
  <si>
    <t>■ Blue text — hardcoded input assumptions</t>
  </si>
  <si>
    <t>■ Black text — calculated formula</t>
  </si>
  <si>
    <t>■ Green text — cross-sheet reference</t>
  </si>
  <si>
    <t>DISCLAIMER: This workbook is a stylised illustrative model for actuarial study and training purposes. All figures are fictitious.</t>
  </si>
  <si>
    <t>HealthShield Insurance plc — Solvency II Balance Sheet (S.02.01.02)</t>
  </si>
  <si>
    <t>Reporting date: 31 December 2024  |  Currency: GBP (£ thousands)</t>
  </si>
  <si>
    <t>Line Item</t>
  </si>
  <si>
    <t>SII Value
(£'000)</t>
  </si>
  <si>
    <t>IFRS Value
(£'000)</t>
  </si>
  <si>
    <t>SII Adjustment
(£'000)</t>
  </si>
  <si>
    <t>A S S E T S</t>
  </si>
  <si>
    <t>Intangible Assets</t>
  </si>
  <si>
    <t>Goodwill</t>
  </si>
  <si>
    <t>Other intangible assets  [Nil under SII — deducted from own funds]</t>
  </si>
  <si>
    <t>Total Intangible Assets</t>
  </si>
  <si>
    <t>Deferred Tax Asset</t>
  </si>
  <si>
    <t>Deferred income tax asset  [Arising from TP discounting and risk margin]</t>
  </si>
  <si>
    <t>Total Deferred Tax Assets</t>
  </si>
  <si>
    <t>Property, Plant &amp; Equipment (for own use)</t>
  </si>
  <si>
    <t>Owner-occupied property</t>
  </si>
  <si>
    <t>IT equipment &amp; leasehold improvements</t>
  </si>
  <si>
    <t>Total PPE</t>
  </si>
  <si>
    <t>Investments (excluding unit-linked)</t>
  </si>
  <si>
    <t>Government bonds (gilts &amp; sovereign)</t>
  </si>
  <si>
    <t>Corporate bonds (investment grade)</t>
  </si>
  <si>
    <t>Listed equities</t>
  </si>
  <si>
    <t>Investment property</t>
  </si>
  <si>
    <t>Collective investment undertakings</t>
  </si>
  <si>
    <t>Derivatives (positive fair value)</t>
  </si>
  <si>
    <t>Deposits (other than cash equivalents)</t>
  </si>
  <si>
    <t>Total Investments</t>
  </si>
  <si>
    <t>Loans &amp; Mortgages</t>
  </si>
  <si>
    <t>Policy loans</t>
  </si>
  <si>
    <t>Other loans &amp; mortgages</t>
  </si>
  <si>
    <t>Total Loans &amp; Mortgages</t>
  </si>
  <si>
    <t>Reinsurance Recoverables (net of counterparty default adj.)</t>
  </si>
  <si>
    <t>Life — Income Protection (QS + XL)  [CDadj applied per SII Art.41]</t>
  </si>
  <si>
    <t>Life — Critical Illness</t>
  </si>
  <si>
    <t>Life — Long-term Care</t>
  </si>
  <si>
    <t>Non-life — PMI (XL)</t>
  </si>
  <si>
    <t>Non-life — Accident &amp; Health (QS)</t>
  </si>
  <si>
    <t>Total Reinsurance Recoverables</t>
  </si>
  <si>
    <t>Receivables</t>
  </si>
  <si>
    <t>Insurance &amp; intermediary receivables</t>
  </si>
  <si>
    <t>Reinsurance receivables</t>
  </si>
  <si>
    <t>Receivables (trade, not insurance)</t>
  </si>
  <si>
    <t>Total Receivables</t>
  </si>
  <si>
    <t>Other Assets</t>
  </si>
  <si>
    <t>Cash &amp; cash equivalents</t>
  </si>
  <si>
    <t>Own shares (held for own purposes)</t>
  </si>
  <si>
    <t>Any other assets</t>
  </si>
  <si>
    <t>Total Other Assets</t>
  </si>
  <si>
    <t>TOTAL ASSETS</t>
  </si>
  <si>
    <t>L I A B I L I T I E S</t>
  </si>
  <si>
    <t>Technical Provisions — Life Obligations (Long-term Products)</t>
  </si>
  <si>
    <t>Income Protection — Best Estimate Liability (BEL)  [Discounted using EIOPA RFR term structure]</t>
  </si>
  <si>
    <t>Income Protection — Risk Margin  [CoC method; 6% cost of capital]</t>
  </si>
  <si>
    <t>Critical Illness — BEL</t>
  </si>
  <si>
    <t>Critical Illness — Risk Margin</t>
  </si>
  <si>
    <t>Long-term Care — BEL</t>
  </si>
  <si>
    <t>Long-term Care — Risk Margin</t>
  </si>
  <si>
    <t>Total Life Technical Provisions</t>
  </si>
  <si>
    <t>Technical Provisions — Non-life Obligations (Short-term Products)</t>
  </si>
  <si>
    <t>PMI — Premium Provisions (BEL, unearned risk)  [UEP basis adjusted for expected profitability]</t>
  </si>
  <si>
    <t>PMI — Claims Provisions (BEL, IBNR + O/S)  [Incl. ALAE; discounted per SII]</t>
  </si>
  <si>
    <t>PMI — Risk Margin</t>
  </si>
  <si>
    <t>Accident &amp; Health — Premium Provisions (BEL)</t>
  </si>
  <si>
    <t>Accident &amp; Health — Claims Provisions (BEL)</t>
  </si>
  <si>
    <t>Accident &amp; Health — Risk Margin</t>
  </si>
  <si>
    <t>Total Non-life Technical Provisions</t>
  </si>
  <si>
    <t>TOTAL TECHNICAL PROVISIONS</t>
  </si>
  <si>
    <t>Other Liabilities</t>
  </si>
  <si>
    <t>Provisions other than technical provisions</t>
  </si>
  <si>
    <t>Pension benefit obligations</t>
  </si>
  <si>
    <t>Deferred income tax liabilities  [Includes TP and investment property DTL]</t>
  </si>
  <si>
    <t>Derivatives (negative fair value)</t>
  </si>
  <si>
    <t>Debts owed to credit institutions</t>
  </si>
  <si>
    <t>Financial liabilities (subordinated Tier 2 debt)  [Qualifying under Art.63 — counts as Tier 2 basic own funds]</t>
  </si>
  <si>
    <t>Insurance &amp; intermediary payables</t>
  </si>
  <si>
    <t>Reinsurance payables</t>
  </si>
  <si>
    <t>Payables (trade, not insurance)</t>
  </si>
  <si>
    <t>Any other liabilities</t>
  </si>
  <si>
    <t>Total Other Liabilities</t>
  </si>
  <si>
    <t>TOTAL LIABILITIES</t>
  </si>
  <si>
    <t>E X C E S S  O F  A S S E T S  O V E R  L I A B I L I T I E S  /  O W N  F U N D S</t>
  </si>
  <si>
    <t>Excess of assets over liabilities (SII basis)</t>
  </si>
  <si>
    <t>Own Funds Allocation (per S.23.01)</t>
  </si>
  <si>
    <t>Tier 1 — Share capital (paid-up, fully called)</t>
  </si>
  <si>
    <t>Tier 1 — Share premium account</t>
  </si>
  <si>
    <t>Tier 1 — Reconciliation reserve (residual)</t>
  </si>
  <si>
    <t>Tier 2 — Subordinated liabilities (qualifying)  [Same item as in Other Liabilities above]</t>
  </si>
  <si>
    <t>Tier 3 — Deferred tax assets (net eligible)</t>
  </si>
  <si>
    <t>TOTAL ELIGIBLE OWN FUNDS</t>
  </si>
  <si>
    <t>B A L A N C E   C H E C K</t>
  </si>
  <si>
    <t>Total Assets</t>
  </si>
  <si>
    <t>Total Liabilities + Own Funds</t>
  </si>
  <si>
    <t>Balance check (must be zero)</t>
  </si>
  <si>
    <t>HealthShield Insurance plc — SCR Summary &amp; Solvency Position</t>
  </si>
  <si>
    <t>31 December 2024  |  GBP (£ thousands)  |  Standard Formula</t>
  </si>
  <si>
    <t>Risk Module / Component</t>
  </si>
  <si>
    <t>Gross SCR (£'000)</t>
  </si>
  <si>
    <t>Net SCR (£'000)</t>
  </si>
  <si>
    <t>BSCR Components (Standard Formula, pre-diversification)</t>
  </si>
  <si>
    <t>Life Underwriting Risk (LURE)</t>
  </si>
  <si>
    <t>Mortality risk</t>
  </si>
  <si>
    <t>Longevity risk</t>
  </si>
  <si>
    <t>Disability / morbidity risk (IP &amp; LTC)</t>
  </si>
  <si>
    <t>Lapse risk</t>
  </si>
  <si>
    <t>Life expense risk</t>
  </si>
  <si>
    <t>Revision risk (annuities)</t>
  </si>
  <si>
    <t>Life UW Risk (after intracorrelation)</t>
  </si>
  <si>
    <t>Health Underwriting Risk (HURE)</t>
  </si>
  <si>
    <t>NSLT Health — premium &amp; reserve risk (PMI)</t>
  </si>
  <si>
    <t>NSLT Health — lapse risk</t>
  </si>
  <si>
    <t>SLT Health — disability/morbidity (CI)</t>
  </si>
  <si>
    <t>CAT Health risk (pandemic / mass accident)</t>
  </si>
  <si>
    <t>Health UW Risk (after intracorrelation)</t>
  </si>
  <si>
    <t>Market Risk</t>
  </si>
  <si>
    <t>Interest rate risk</t>
  </si>
  <si>
    <t>Spread risk</t>
  </si>
  <si>
    <t>Equity risk</t>
  </si>
  <si>
    <t>Property risk</t>
  </si>
  <si>
    <t>Currency risk</t>
  </si>
  <si>
    <t>Concentration risk</t>
  </si>
  <si>
    <t>Market Risk (after intracorrelation)</t>
  </si>
  <si>
    <t>Counterparty Default Risk</t>
  </si>
  <si>
    <t>Type 1 exposures (reinsurers, banks, derivatives)</t>
  </si>
  <si>
    <t>Type 2 exposures (receivables, intermediaries)</t>
  </si>
  <si>
    <t>Operational Risk</t>
  </si>
  <si>
    <t>Life operational risk (% of TP and premiums)</t>
  </si>
  <si>
    <t>Non-life operational risk</t>
  </si>
  <si>
    <t>BSCR (Basic SCR, post inter-module diversification)</t>
  </si>
  <si>
    <t>SCR, MCR &amp; Solvency Ratios</t>
  </si>
  <si>
    <t>BSCR</t>
  </si>
  <si>
    <t>Add: Operational Risk</t>
  </si>
  <si>
    <t>Less: Loss-absorbing capacity of technical provisions (LACTP)</t>
  </si>
  <si>
    <t>Less: Loss-absorbing capacity of deferred taxes (LACDT)</t>
  </si>
  <si>
    <t>SOLVENCY CAPITAL REQUIREMENT (SCR)</t>
  </si>
  <si>
    <t>Minimum Capital Requirement (MCR)</t>
  </si>
  <si>
    <t>Solvency Position &amp; Coverage Ratios</t>
  </si>
  <si>
    <t>Total Eligible Own Funds (from S.02.01)</t>
  </si>
  <si>
    <t>Own funds eligible to cover SCR (Tier 1+2+3 subject to limits)</t>
  </si>
  <si>
    <t>Own funds eligible to cover MCR (Tier 1+2 only, Tier 3 excluded)</t>
  </si>
  <si>
    <t>SCR Coverage Ratio</t>
  </si>
  <si>
    <t>MCR Coverage Ratio</t>
  </si>
  <si>
    <t>Key Assumptions, Notes &amp; Regulatory References</t>
  </si>
  <si>
    <t>VALUATION FRAMEWORK</t>
  </si>
  <si>
    <t>Standard</t>
  </si>
  <si>
    <t>SII Directive  ← Directive 2009/138/EC; Delegated Regulation (EU) 2015/35</t>
  </si>
  <si>
    <t>Reporting date</t>
  </si>
  <si>
    <t>31 December 2024  ← Annual QRT submission</t>
  </si>
  <si>
    <t>Currency</t>
  </si>
  <si>
    <t>RISK-FREE RATE (RFR)</t>
  </si>
  <si>
    <t>Term structure</t>
  </si>
  <si>
    <t>EIOPA published GBP RFR  ← November 2024 curve; includes VA of 28 bps for PMI</t>
  </si>
  <si>
    <t>Volatility adjustment (VA)</t>
  </si>
  <si>
    <t>28 bps (non-life PMI)  ← Art.77d; approved by PRA</t>
  </si>
  <si>
    <t>Matching adjustment</t>
  </si>
  <si>
    <t>Not applied  ← Portfolio not eligible (mixed short/long duration)</t>
  </si>
  <si>
    <t>TECHNICAL PROVISIONS — LIFE</t>
  </si>
  <si>
    <t>BEL methodology</t>
  </si>
  <si>
    <t>Cash-flow projection model  ← Deterministic (IP, LTC); stochastic CI (nested)</t>
  </si>
  <si>
    <t>Morbidity basis</t>
  </si>
  <si>
    <t>Company experience + CMI 2023 projections  ← Graduated with credibility weighting</t>
  </si>
  <si>
    <t>Lapses</t>
  </si>
  <si>
    <t>Product &amp; duration specific  ← IP: 5–8% pa; CI: 3–5% pa; LTC: 1.5% pa</t>
  </si>
  <si>
    <t>Expenses</t>
  </si>
  <si>
    <t>Fully-allocated unit costs  ← Inflated at 3.5% pa (wage-linked)</t>
  </si>
  <si>
    <t>Risk margin (Life)</t>
  </si>
  <si>
    <t>Cost-of-Capital; 6% CoC rate  ← Art.77; SCR projected using duration approximation</t>
  </si>
  <si>
    <t>Reins. CD adjustment</t>
  </si>
  <si>
    <t>Rating-based LGD × probability of default  ← Art.41 Delegated Regulation</t>
  </si>
  <si>
    <t>TECHNICAL PROVISIONS — NON-LIFE</t>
  </si>
  <si>
    <t>PMI premium provisions</t>
  </si>
  <si>
    <t>P&amp;L projection; BEL = UEP – PVFP (adj)  ← Discounted; no VA applied to short-duration</t>
  </si>
  <si>
    <t>PMI claims provisions</t>
  </si>
  <si>
    <t>Chain-ladder + BF (IBNR); case reserves (O/S)  ← 12-month development tail applied</t>
  </si>
  <si>
    <t>ALAE</t>
  </si>
  <si>
    <t>Included in claims provisions  ← Allocated loss adjustment expenses within BEL</t>
  </si>
  <si>
    <t>A&amp;H provisions</t>
  </si>
  <si>
    <t>Consistent with PMI; shorter development tail</t>
  </si>
  <si>
    <t>Risk margin (Non-life)</t>
  </si>
  <si>
    <t>Cost-of-Capital; 6%  ← Projected over 3-year run-off horizon</t>
  </si>
  <si>
    <t>OWN FUNDS &amp; SCR</t>
  </si>
  <si>
    <t>SCR method</t>
  </si>
  <si>
    <t>Standard Formula (Solvency II)  ← Art.101–111; Delegated Regulation Annex IV</t>
  </si>
  <si>
    <t>Diversification</t>
  </si>
  <si>
    <t>Inter-module correlation matrix per Annex IV  ← LURE–HURE corr=0.25; MKT–LURE corr=0.25</t>
  </si>
  <si>
    <t>LAC-TP</t>
  </si>
  <si>
    <t>Homogeneous risk groups; bonus discretion  ← Art.206; approved by board</t>
  </si>
  <si>
    <t>LAC-DT</t>
  </si>
  <si>
    <t>Capped at DTL on balance sheet</t>
  </si>
  <si>
    <t>Tier 2 sub-debt</t>
  </si>
  <si>
    <t>£75m qualifying per Art.63; 5yr maturity  ← Counts toward SCR; excluded from MCR eligible</t>
  </si>
  <si>
    <t>Tier 3 DTA (net)</t>
  </si>
  <si>
    <t>£18m; excluded from MCR eligible own funds  ← Subject to 15% Tier 1 minimum floor for SCR</t>
  </si>
  <si>
    <t>INVESTMENTS</t>
  </si>
  <si>
    <t>Government bonds</t>
  </si>
  <si>
    <t>Fair value = market value  ← Mark-to-market via Bloomberg</t>
  </si>
  <si>
    <t>Corporate bonds</t>
  </si>
  <si>
    <t>Mark-to-model for illiquid; market for liquid  ← IFRS 9 stage 1/2 classification carried over</t>
  </si>
  <si>
    <t>Independent valuation (RICS basis)  ← £25m uplift vs IFRS cost; recognised in SII OF</t>
  </si>
  <si>
    <t>Derivatives</t>
  </si>
  <si>
    <t>ISDA Master Agreement; cleared via LCH  ← Net positive / negative shown separately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</si>
</sst>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\-"/>
    <numFmt numFmtId="165" formatCode="0.0%"/>
  </numFmts>
  <fonts count="20" x14ac:knownFonts="1">
    <font>
      <sz val="11"/>
      <color theme="1"/>
      <name val="Calibri"/>
      <family val="2"/>
      <charset val="1"/>
    </font>
    <font>
      <b/>
      <sz val="22"/>
      <color rgb="FF1F3864"/>
      <name val="Arial"/>
      <charset val="1"/>
    </font>
    <font>
      <sz val="14"/>
      <color rgb="FF1F6B75"/>
      <name val="Arial"/>
      <charset val="1"/>
    </font>
    <font>
      <sz val="12"/>
      <color rgb="FF555555"/>
      <name val="Arial"/>
      <charset val="1"/>
    </font>
    <font>
      <b/>
      <sz val="10"/>
      <color rgb="FF444444"/>
      <name val="Arial"/>
      <charset val="1"/>
    </font>
    <font>
      <sz val="10"/>
      <color rgb="FF222222"/>
      <name val="Arial"/>
      <charset val="1"/>
    </font>
    <font>
      <b/>
      <sz val="10"/>
      <color rgb="FF1F3864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sz val="10"/>
      <color rgb="FF00641E"/>
      <name val="Arial"/>
      <charset val="1"/>
    </font>
    <font>
      <i/>
      <sz val="9"/>
      <color rgb="FF777777"/>
      <name val="Arial"/>
      <charset val="1"/>
    </font>
    <font>
      <b/>
      <sz val="13"/>
      <color rgb="FF1F3864"/>
      <name val="Arial"/>
      <charset val="1"/>
    </font>
    <font>
      <i/>
      <sz val="10"/>
      <color rgb="FF555555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b/>
      <sz val="11"/>
      <color rgb="FFFFFFFF"/>
      <name val="Arial"/>
      <charset val="1"/>
    </font>
    <font>
      <b/>
      <sz val="11"/>
      <color rgb="FFFFFF00"/>
      <name val="Arial"/>
      <charset val="1"/>
    </font>
    <font>
      <b/>
      <sz val="10"/>
      <color rgb="FFFFFF00"/>
      <name val="Arial"/>
      <charset val="1"/>
    </font>
    <font>
      <b/>
      <sz val="10"/>
      <color rgb="FF000000"/>
      <name val="Arial"/>
      <charset val="1"/>
    </font>
    <font>
      <sz val="10"/>
      <color rgb="FF333333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17455E"/>
      </patternFill>
    </fill>
    <fill>
      <patternFill patternType="solid">
        <fgColor rgb="FF2E4057"/>
        <bgColor rgb="FF1F3864"/>
      </patternFill>
    </fill>
    <fill>
      <patternFill patternType="solid">
        <fgColor rgb="FFF2F2F2"/>
        <bgColor rgb="FFE8F5E9"/>
      </patternFill>
    </fill>
    <fill>
      <patternFill patternType="solid">
        <fgColor rgb="FF1F6B75"/>
        <bgColor rgb="FF2C5F2E"/>
      </patternFill>
    </fill>
    <fill>
      <patternFill patternType="solid">
        <fgColor rgb="FFE8F5E9"/>
        <bgColor rgb="FFF2F2F2"/>
      </patternFill>
    </fill>
    <fill>
      <patternFill patternType="solid">
        <fgColor rgb="FF17455E"/>
        <bgColor rgb="FF1F3864"/>
      </patternFill>
    </fill>
    <fill>
      <patternFill patternType="solid">
        <fgColor rgb="FF0D3349"/>
        <bgColor rgb="FF1F3864"/>
      </patternFill>
    </fill>
    <fill>
      <patternFill patternType="solid">
        <fgColor rgb="FF2C5F2E"/>
        <bgColor rgb="FF00641E"/>
      </patternFill>
    </fill>
    <fill>
      <patternFill patternType="solid">
        <fgColor rgb="FFD6E4F0"/>
        <bgColor rgb="FFE8F5E9"/>
      </patternFill>
    </fill>
  </fills>
  <borders count="4">
    <border>
      <left/>
      <right/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1F3864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2" fillId="0" borderId="0" xfId="0" applyFont="1"/>
    <xf numFmtId="0" fontId="11" fillId="0" borderId="0" xfId="0" applyFont="1"/>
    <xf numFmtId="0" fontId="10" fillId="0" borderId="0" xfId="0" applyFont="1" applyAlignment="1">
      <alignment wrapText="1"/>
    </xf>
    <xf numFmtId="0" fontId="6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/>
    <xf numFmtId="0" fontId="0" fillId="2" borderId="0" xfId="0" applyFill="1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3" fillId="2" borderId="1" xfId="0" applyFont="1" applyFill="1" applyBorder="1" applyAlignment="1">
      <alignment horizontal="left" wrapText="1" indent="1"/>
    </xf>
    <xf numFmtId="0" fontId="13" fillId="2" borderId="1" xfId="0" applyFont="1" applyFill="1" applyBorder="1" applyAlignment="1">
      <alignment horizontal="center" wrapText="1"/>
    </xf>
    <xf numFmtId="0" fontId="13" fillId="2" borderId="1" xfId="0" applyFont="1" applyFill="1" applyBorder="1" applyAlignment="1">
      <alignment horizontal="left" indent="1"/>
    </xf>
    <xf numFmtId="0" fontId="0" fillId="2" borderId="1" xfId="0" applyFill="1" applyBorder="1"/>
    <xf numFmtId="0" fontId="13" fillId="3" borderId="1" xfId="0" applyFont="1" applyFill="1" applyBorder="1" applyAlignment="1">
      <alignment horizontal="left" indent="2"/>
    </xf>
    <xf numFmtId="0" fontId="0" fillId="3" borderId="1" xfId="0" applyFill="1" applyBorder="1"/>
    <xf numFmtId="0" fontId="8" fillId="0" borderId="0" xfId="0" applyFont="1" applyAlignment="1">
      <alignment horizontal="left" indent="3"/>
    </xf>
    <xf numFmtId="164" fontId="7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right"/>
    </xf>
    <xf numFmtId="0" fontId="14" fillId="4" borderId="2" xfId="0" applyFont="1" applyFill="1" applyBorder="1" applyAlignment="1">
      <alignment horizontal="left" indent="1"/>
    </xf>
    <xf numFmtId="0" fontId="0" fillId="4" borderId="2" xfId="0" applyFill="1" applyBorder="1"/>
    <xf numFmtId="164" fontId="14" fillId="4" borderId="2" xfId="0" applyNumberFormat="1" applyFont="1" applyFill="1" applyBorder="1" applyAlignment="1">
      <alignment horizontal="right"/>
    </xf>
    <xf numFmtId="0" fontId="15" fillId="2" borderId="1" xfId="0" applyFont="1" applyFill="1" applyBorder="1" applyAlignment="1">
      <alignment horizontal="left" indent="1"/>
    </xf>
    <xf numFmtId="164" fontId="16" fillId="2" borderId="1" xfId="0" applyNumberFormat="1" applyFont="1" applyFill="1" applyBorder="1" applyAlignment="1">
      <alignment horizontal="right"/>
    </xf>
    <xf numFmtId="0" fontId="13" fillId="5" borderId="1" xfId="0" applyFont="1" applyFill="1" applyBorder="1" applyAlignment="1">
      <alignment horizontal="left" indent="2"/>
    </xf>
    <xf numFmtId="0" fontId="0" fillId="5" borderId="1" xfId="0" applyFill="1" applyBorder="1"/>
    <xf numFmtId="0" fontId="14" fillId="6" borderId="2" xfId="0" applyFont="1" applyFill="1" applyBorder="1" applyAlignment="1">
      <alignment horizontal="left" indent="1"/>
    </xf>
    <xf numFmtId="0" fontId="0" fillId="6" borderId="2" xfId="0" applyFill="1" applyBorder="1"/>
    <xf numFmtId="164" fontId="14" fillId="6" borderId="2" xfId="0" applyNumberFormat="1" applyFont="1" applyFill="1" applyBorder="1" applyAlignment="1">
      <alignment horizontal="right"/>
    </xf>
    <xf numFmtId="0" fontId="13" fillId="7" borderId="1" xfId="0" applyFont="1" applyFill="1" applyBorder="1" applyAlignment="1">
      <alignment horizontal="left" indent="1"/>
    </xf>
    <xf numFmtId="164" fontId="17" fillId="7" borderId="1" xfId="0" applyNumberFormat="1" applyFont="1" applyFill="1" applyBorder="1" applyAlignment="1">
      <alignment horizontal="right"/>
    </xf>
    <xf numFmtId="0" fontId="13" fillId="8" borderId="1" xfId="0" applyFont="1" applyFill="1" applyBorder="1" applyAlignment="1">
      <alignment horizontal="left" indent="1"/>
    </xf>
    <xf numFmtId="0" fontId="0" fillId="8" borderId="1" xfId="0" applyFill="1" applyBorder="1"/>
    <xf numFmtId="0" fontId="8" fillId="0" borderId="0" xfId="0" applyFont="1" applyAlignment="1">
      <alignment horizontal="left" indent="2"/>
    </xf>
    <xf numFmtId="0" fontId="13" fillId="8" borderId="1" xfId="0" applyFont="1" applyFill="1" applyBorder="1" applyAlignment="1">
      <alignment horizontal="left" indent="2"/>
    </xf>
    <xf numFmtId="0" fontId="15" fillId="2" borderId="2" xfId="0" applyFont="1" applyFill="1" applyBorder="1" applyAlignment="1">
      <alignment horizontal="left" indent="1"/>
    </xf>
    <xf numFmtId="0" fontId="16" fillId="2" borderId="2" xfId="0" applyFont="1" applyFill="1" applyBorder="1"/>
    <xf numFmtId="0" fontId="0" fillId="2" borderId="2" xfId="0" applyFill="1" applyBorder="1"/>
    <xf numFmtId="164" fontId="14" fillId="2" borderId="2" xfId="0" applyNumberFormat="1" applyFont="1" applyFill="1" applyBorder="1" applyAlignment="1">
      <alignment horizontal="right"/>
    </xf>
    <xf numFmtId="0" fontId="13" fillId="9" borderId="1" xfId="0" applyFont="1" applyFill="1" applyBorder="1" applyAlignment="1">
      <alignment horizontal="left" indent="1"/>
    </xf>
    <xf numFmtId="0" fontId="0" fillId="9" borderId="1" xfId="0" applyFill="1" applyBorder="1"/>
    <xf numFmtId="0" fontId="14" fillId="0" borderId="0" xfId="0" applyFont="1" applyAlignment="1">
      <alignment horizontal="left" indent="2"/>
    </xf>
    <xf numFmtId="164" fontId="18" fillId="0" borderId="2" xfId="0" applyNumberFormat="1" applyFont="1" applyBorder="1" applyAlignment="1">
      <alignment horizontal="right"/>
    </xf>
    <xf numFmtId="0" fontId="13" fillId="2" borderId="1" xfId="0" applyFont="1" applyFill="1" applyBorder="1" applyAlignment="1">
      <alignment horizontal="center"/>
    </xf>
    <xf numFmtId="164" fontId="18" fillId="4" borderId="2" xfId="0" applyNumberFormat="1" applyFont="1" applyFill="1" applyBorder="1" applyAlignment="1">
      <alignment horizontal="right"/>
    </xf>
    <xf numFmtId="0" fontId="15" fillId="7" borderId="1" xfId="0" applyFont="1" applyFill="1" applyBorder="1" applyAlignment="1">
      <alignment horizontal="left" indent="1"/>
    </xf>
    <xf numFmtId="164" fontId="16" fillId="7" borderId="1" xfId="0" applyNumberFormat="1" applyFont="1" applyFill="1" applyBorder="1" applyAlignment="1">
      <alignment horizontal="right"/>
    </xf>
    <xf numFmtId="164" fontId="16" fillId="2" borderId="2" xfId="0" applyNumberFormat="1" applyFont="1" applyFill="1" applyBorder="1" applyAlignment="1">
      <alignment horizontal="right"/>
    </xf>
    <xf numFmtId="164" fontId="9" fillId="0" borderId="0" xfId="0" applyNumberFormat="1" applyFont="1" applyAlignment="1">
      <alignment horizontal="right"/>
    </xf>
    <xf numFmtId="0" fontId="14" fillId="10" borderId="1" xfId="0" applyFont="1" applyFill="1" applyBorder="1" applyAlignment="1">
      <alignment horizontal="left" indent="2"/>
    </xf>
    <xf numFmtId="165" fontId="18" fillId="10" borderId="1" xfId="0" applyNumberFormat="1" applyFont="1" applyFill="1" applyBorder="1" applyAlignment="1">
      <alignment horizontal="right"/>
    </xf>
    <xf numFmtId="0" fontId="0" fillId="10" borderId="1" xfId="0" applyFill="1" applyBorder="1"/>
    <xf numFmtId="165" fontId="14" fillId="10" borderId="1" xfId="0" applyNumberFormat="1" applyFont="1" applyFill="1" applyBorder="1" applyAlignment="1">
      <alignment horizontal="right"/>
    </xf>
    <xf numFmtId="0" fontId="8" fillId="0" borderId="3" xfId="0" applyFont="1" applyBorder="1" applyAlignment="1">
      <alignment horizontal="left" indent="2"/>
    </xf>
    <xf numFmtId="0" fontId="19" fillId="0" borderId="3" xfId="0" applyFont="1" applyBorder="1" applyAlignment="1">
      <alignment horizontal="left" wrapText="1" indent="1"/>
    </xf>
    <xf numFmtId="0" fontId="7" fillId="0" borderId="3" xfId="0" applyFont="1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1E"/>
      <rgbColor rgb="FF000080"/>
      <rgbColor rgb="FF808000"/>
      <rgbColor rgb="FF800080"/>
      <rgbColor rgb="FF1F6B75"/>
      <rgbColor rgb="FFBFBFBF"/>
      <rgbColor rgb="FF777777"/>
      <rgbColor rgb="FF9999FF"/>
      <rgbColor rgb="FF444444"/>
      <rgbColor rgb="FFF2F2F2"/>
      <rgbColor rgb="FFE8F5E9"/>
      <rgbColor rgb="FF660066"/>
      <rgbColor rgb="FFFF8080"/>
      <rgbColor rgb="FF2E4057"/>
      <rgbColor rgb="FFD6E4F0"/>
      <rgbColor rgb="FF000080"/>
      <rgbColor rgb="FFFF00FF"/>
      <rgbColor rgb="FFFFFF00"/>
      <rgbColor rgb="FF00FFFF"/>
      <rgbColor rgb="FF800080"/>
      <rgbColor rgb="FF800000"/>
      <rgbColor rgb="FF2C5F2E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D3349"/>
      <rgbColor rgb="FF339966"/>
      <rgbColor rgb="FF17455E"/>
      <rgbColor rgb="FF222222"/>
      <rgbColor rgb="FF993300"/>
      <rgbColor rgb="FF993366"/>
      <rgbColor rgb="FF1F3864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"/>
  <sheetViews>
    <sheetView showGridLines="0" tabSelected="1" zoomScaleNormal="100" workbookViewId="0"/>
  </sheetViews>
  <sheetFormatPr defaultColWidth="8.6640625" defaultRowHeight="14.4" x14ac:dyDescent="0.3"/>
  <cols>
    <col min="1" max="1" width="5" customWidth="1"/>
    <col min="2" max="2" width="60" customWidth="1"/>
    <col min="3" max="3" width="30" customWidth="1"/>
  </cols>
  <sheetData>
    <row r="1" spans="1:3" x14ac:dyDescent="0.3">
      <c r="A1" s="8"/>
    </row>
    <row r="2" spans="1:3" x14ac:dyDescent="0.3">
      <c r="A2" s="8"/>
    </row>
    <row r="3" spans="1:3" ht="28.2" x14ac:dyDescent="0.5">
      <c r="A3" s="8"/>
      <c r="B3" s="7" t="s">
        <v>0</v>
      </c>
      <c r="C3" s="7"/>
    </row>
    <row r="4" spans="1:3" ht="19.5" customHeight="1" x14ac:dyDescent="0.3">
      <c r="A4" s="8"/>
      <c r="B4" s="6" t="s">
        <v>1</v>
      </c>
      <c r="C4" s="6"/>
    </row>
    <row r="5" spans="1:3" ht="19.5" customHeight="1" x14ac:dyDescent="0.3">
      <c r="A5" s="8"/>
      <c r="B5" s="5" t="s">
        <v>2</v>
      </c>
      <c r="C5" s="5"/>
    </row>
    <row r="6" spans="1:3" ht="15" customHeight="1" x14ac:dyDescent="0.3">
      <c r="A6" s="8"/>
    </row>
    <row r="7" spans="1:3" ht="19.5" customHeight="1" x14ac:dyDescent="0.3">
      <c r="A7" s="8"/>
      <c r="B7" s="9" t="s">
        <v>3</v>
      </c>
      <c r="C7" s="10" t="s">
        <v>4</v>
      </c>
    </row>
    <row r="8" spans="1:3" ht="19.5" customHeight="1" x14ac:dyDescent="0.3">
      <c r="A8" s="8"/>
      <c r="B8" s="9" t="s">
        <v>5</v>
      </c>
      <c r="C8" s="10" t="s">
        <v>6</v>
      </c>
    </row>
    <row r="9" spans="1:3" ht="19.5" customHeight="1" x14ac:dyDescent="0.3">
      <c r="A9" s="8"/>
      <c r="B9" s="9" t="s">
        <v>7</v>
      </c>
      <c r="C9" s="10" t="s">
        <v>8</v>
      </c>
    </row>
    <row r="10" spans="1:3" ht="19.5" customHeight="1" x14ac:dyDescent="0.3">
      <c r="A10" s="8"/>
      <c r="B10" s="9" t="s">
        <v>9</v>
      </c>
      <c r="C10" s="10" t="s">
        <v>10</v>
      </c>
    </row>
    <row r="11" spans="1:3" x14ac:dyDescent="0.3">
      <c r="A11" s="8"/>
      <c r="B11" s="9" t="s">
        <v>11</v>
      </c>
      <c r="C11" s="10" t="s">
        <v>12</v>
      </c>
    </row>
    <row r="12" spans="1:3" x14ac:dyDescent="0.3">
      <c r="A12" s="8"/>
      <c r="B12" s="9"/>
      <c r="C12" s="10" t="s">
        <v>13</v>
      </c>
    </row>
    <row r="13" spans="1:3" x14ac:dyDescent="0.3">
      <c r="A13" s="8"/>
      <c r="B13" s="9" t="s">
        <v>14</v>
      </c>
      <c r="C13" s="10" t="s">
        <v>15</v>
      </c>
    </row>
    <row r="14" spans="1:3" x14ac:dyDescent="0.3">
      <c r="A14" s="8"/>
      <c r="B14" s="9" t="s">
        <v>16</v>
      </c>
      <c r="C14" s="10" t="s">
        <v>17</v>
      </c>
    </row>
    <row r="15" spans="1:3" x14ac:dyDescent="0.3">
      <c r="A15" s="8"/>
    </row>
    <row r="16" spans="1:3" ht="9.75" customHeight="1" x14ac:dyDescent="0.3">
      <c r="A16" s="8"/>
    </row>
    <row r="17" spans="1:3" x14ac:dyDescent="0.3">
      <c r="A17" s="8"/>
      <c r="B17" s="4" t="s">
        <v>18</v>
      </c>
      <c r="C17" s="4"/>
    </row>
    <row r="18" spans="1:3" x14ac:dyDescent="0.3">
      <c r="A18" s="8"/>
      <c r="B18" s="11" t="s">
        <v>19</v>
      </c>
    </row>
    <row r="19" spans="1:3" x14ac:dyDescent="0.3">
      <c r="A19" s="8"/>
      <c r="B19" s="12" t="s">
        <v>20</v>
      </c>
    </row>
    <row r="20" spans="1:3" x14ac:dyDescent="0.3">
      <c r="A20" s="8"/>
      <c r="B20" s="13" t="s">
        <v>21</v>
      </c>
    </row>
    <row r="21" spans="1:3" x14ac:dyDescent="0.3">
      <c r="A21" s="8"/>
    </row>
    <row r="22" spans="1:3" ht="27.75" customHeight="1" x14ac:dyDescent="0.3">
      <c r="A22" s="8"/>
      <c r="B22" s="3" t="s">
        <v>22</v>
      </c>
      <c r="C22" s="3"/>
    </row>
    <row r="23" spans="1:3" x14ac:dyDescent="0.3">
      <c r="A23" s="8"/>
    </row>
    <row r="24" spans="1:3" x14ac:dyDescent="0.3">
      <c r="A24" s="8"/>
    </row>
    <row r="25" spans="1:3" x14ac:dyDescent="0.3">
      <c r="A25" s="8"/>
    </row>
    <row r="26" spans="1:3" x14ac:dyDescent="0.3">
      <c r="A26" s="8"/>
    </row>
    <row r="27" spans="1:3" x14ac:dyDescent="0.3">
      <c r="A27" s="8"/>
    </row>
    <row r="28" spans="1:3" x14ac:dyDescent="0.3">
      <c r="A28" s="8"/>
    </row>
    <row r="29" spans="1:3" x14ac:dyDescent="0.3">
      <c r="A29" s="8"/>
    </row>
    <row r="30" spans="1:3" x14ac:dyDescent="0.3">
      <c r="A30" s="8"/>
    </row>
    <row r="31" spans="1:3" x14ac:dyDescent="0.3">
      <c r="A31" s="8"/>
    </row>
    <row r="32" spans="1:3" x14ac:dyDescent="0.3">
      <c r="A32" s="8"/>
    </row>
    <row r="33" spans="1:1" x14ac:dyDescent="0.3">
      <c r="A33" s="8"/>
    </row>
    <row r="34" spans="1:1" x14ac:dyDescent="0.3">
      <c r="A34" s="8"/>
    </row>
    <row r="35" spans="1:1" x14ac:dyDescent="0.3">
      <c r="A35" s="8"/>
    </row>
    <row r="36" spans="1:1" x14ac:dyDescent="0.3">
      <c r="A36" s="8"/>
    </row>
    <row r="37" spans="1:1" x14ac:dyDescent="0.3">
      <c r="A37" s="8"/>
    </row>
    <row r="38" spans="1:1" x14ac:dyDescent="0.3">
      <c r="A38" s="8"/>
    </row>
    <row r="39" spans="1:1" x14ac:dyDescent="0.3">
      <c r="A39" s="8"/>
    </row>
    <row r="40" spans="1:1" x14ac:dyDescent="0.3">
      <c r="A40" s="8"/>
    </row>
    <row r="41" spans="1:1" x14ac:dyDescent="0.3">
      <c r="A41" s="8"/>
    </row>
    <row r="42" spans="1:1" x14ac:dyDescent="0.3">
      <c r="A42" s="8"/>
    </row>
    <row r="43" spans="1:1" x14ac:dyDescent="0.3">
      <c r="A43" s="8"/>
    </row>
    <row r="44" spans="1:1" x14ac:dyDescent="0.3">
      <c r="A44" s="8"/>
    </row>
    <row r="45" spans="1:1" x14ac:dyDescent="0.3">
      <c r="A45" s="8"/>
    </row>
    <row r="46" spans="1:1" x14ac:dyDescent="0.3">
      <c r="A46" s="8"/>
    </row>
    <row r="47" spans="1:1" x14ac:dyDescent="0.3">
      <c r="A47" s="8"/>
    </row>
    <row r="48" spans="1:1" x14ac:dyDescent="0.3">
      <c r="A48" s="8"/>
    </row>
    <row r="49" spans="1:1" x14ac:dyDescent="0.3">
      <c r="A49" s="8"/>
    </row>
  </sheetData>
  <mergeCells count="5">
    <mergeCell ref="B3:C3"/>
    <mergeCell ref="B4:C4"/>
    <mergeCell ref="B5:C5"/>
    <mergeCell ref="B17:C17"/>
    <mergeCell ref="B22:C2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108"/>
  <sheetViews>
    <sheetView showGridLines="0" topLeftCell="A4" zoomScaleNormal="100" workbookViewId="0">
      <selection activeCell="C90" sqref="C90"/>
    </sheetView>
  </sheetViews>
  <sheetFormatPr defaultColWidth="8.6640625" defaultRowHeight="14.4" x14ac:dyDescent="0.3"/>
  <cols>
    <col min="1" max="1" width="2" customWidth="1"/>
    <col min="2" max="2" width="46" customWidth="1"/>
    <col min="3" max="5" width="16" customWidth="1"/>
    <col min="6" max="6" width="2" customWidth="1"/>
  </cols>
  <sheetData>
    <row r="1" spans="2:5" ht="7.5" customHeight="1" x14ac:dyDescent="0.3"/>
    <row r="2" spans="2:5" ht="16.8" x14ac:dyDescent="0.3">
      <c r="B2" s="2" t="s">
        <v>23</v>
      </c>
      <c r="C2" s="2"/>
      <c r="D2" s="2"/>
      <c r="E2" s="2"/>
    </row>
    <row r="3" spans="2:5" x14ac:dyDescent="0.3">
      <c r="B3" s="1" t="s">
        <v>24</v>
      </c>
      <c r="C3" s="1"/>
      <c r="D3" s="1"/>
      <c r="E3" s="1"/>
    </row>
    <row r="4" spans="2:5" ht="6" customHeight="1" x14ac:dyDescent="0.3"/>
    <row r="5" spans="2:5" ht="30" customHeight="1" x14ac:dyDescent="0.3">
      <c r="B5" s="14" t="s">
        <v>25</v>
      </c>
      <c r="C5" s="15" t="s">
        <v>26</v>
      </c>
      <c r="D5" s="15" t="s">
        <v>27</v>
      </c>
      <c r="E5" s="15" t="s">
        <v>28</v>
      </c>
    </row>
    <row r="6" spans="2:5" x14ac:dyDescent="0.3">
      <c r="B6" s="16" t="s">
        <v>29</v>
      </c>
      <c r="C6" s="17"/>
      <c r="D6" s="17"/>
      <c r="E6" s="17"/>
    </row>
    <row r="7" spans="2:5" x14ac:dyDescent="0.3">
      <c r="B7" s="18" t="s">
        <v>30</v>
      </c>
      <c r="C7" s="19"/>
      <c r="D7" s="19"/>
      <c r="E7" s="19"/>
    </row>
    <row r="8" spans="2:5" ht="15.75" customHeight="1" x14ac:dyDescent="0.3">
      <c r="B8" s="20" t="s">
        <v>31</v>
      </c>
      <c r="C8" s="21">
        <v>0</v>
      </c>
      <c r="D8" s="21">
        <v>250</v>
      </c>
      <c r="E8" s="22">
        <f>C8-D8</f>
        <v>-250</v>
      </c>
    </row>
    <row r="9" spans="2:5" ht="15.75" customHeight="1" x14ac:dyDescent="0.3">
      <c r="B9" s="20" t="s">
        <v>32</v>
      </c>
      <c r="C9" s="21">
        <v>0</v>
      </c>
      <c r="D9" s="21">
        <v>180</v>
      </c>
      <c r="E9" s="22">
        <f>C9-D9</f>
        <v>-180</v>
      </c>
    </row>
    <row r="10" spans="2:5" x14ac:dyDescent="0.3">
      <c r="B10" s="23" t="s">
        <v>33</v>
      </c>
      <c r="C10" s="24"/>
      <c r="D10" s="24"/>
      <c r="E10" s="25">
        <f>SUM(C8:C9)</f>
        <v>0</v>
      </c>
    </row>
    <row r="11" spans="2:5" ht="4.5" customHeight="1" x14ac:dyDescent="0.3"/>
    <row r="12" spans="2:5" x14ac:dyDescent="0.3">
      <c r="B12" s="18" t="s">
        <v>34</v>
      </c>
      <c r="C12" s="19"/>
      <c r="D12" s="19"/>
      <c r="E12" s="19"/>
    </row>
    <row r="13" spans="2:5" ht="15.75" customHeight="1" x14ac:dyDescent="0.3">
      <c r="B13" s="20" t="s">
        <v>35</v>
      </c>
      <c r="C13" s="21">
        <v>42500</v>
      </c>
      <c r="D13" s="21">
        <v>18200</v>
      </c>
      <c r="E13" s="22">
        <f>C13-D13</f>
        <v>24300</v>
      </c>
    </row>
    <row r="14" spans="2:5" x14ac:dyDescent="0.3">
      <c r="B14" s="23" t="s">
        <v>36</v>
      </c>
      <c r="C14" s="24"/>
      <c r="D14" s="24"/>
      <c r="E14" s="25">
        <f>C13</f>
        <v>42500</v>
      </c>
    </row>
    <row r="15" spans="2:5" ht="4.5" customHeight="1" x14ac:dyDescent="0.3"/>
    <row r="16" spans="2:5" x14ac:dyDescent="0.3">
      <c r="B16" s="18" t="s">
        <v>37</v>
      </c>
      <c r="C16" s="19"/>
      <c r="D16" s="19"/>
      <c r="E16" s="19"/>
    </row>
    <row r="17" spans="2:5" ht="15.75" customHeight="1" x14ac:dyDescent="0.3">
      <c r="B17" s="20" t="s">
        <v>38</v>
      </c>
      <c r="C17" s="21">
        <v>85000</v>
      </c>
      <c r="D17" s="21">
        <v>85000</v>
      </c>
      <c r="E17" s="22">
        <f>C17-D17</f>
        <v>0</v>
      </c>
    </row>
    <row r="18" spans="2:5" ht="15.75" customHeight="1" x14ac:dyDescent="0.3">
      <c r="B18" s="20" t="s">
        <v>39</v>
      </c>
      <c r="C18" s="21">
        <v>12400</v>
      </c>
      <c r="D18" s="21">
        <v>15200</v>
      </c>
      <c r="E18" s="22">
        <f>C18-D18</f>
        <v>-2800</v>
      </c>
    </row>
    <row r="19" spans="2:5" x14ac:dyDescent="0.3">
      <c r="B19" s="23" t="s">
        <v>40</v>
      </c>
      <c r="C19" s="24"/>
      <c r="D19" s="24"/>
      <c r="E19" s="25">
        <f>SUM(C17:C18)</f>
        <v>97400</v>
      </c>
    </row>
    <row r="20" spans="2:5" ht="4.5" customHeight="1" x14ac:dyDescent="0.3"/>
    <row r="21" spans="2:5" x14ac:dyDescent="0.3">
      <c r="B21" s="18" t="s">
        <v>41</v>
      </c>
      <c r="C21" s="19"/>
      <c r="D21" s="19"/>
      <c r="E21" s="19"/>
    </row>
    <row r="22" spans="2:5" ht="15.75" customHeight="1" x14ac:dyDescent="0.3">
      <c r="B22" s="20" t="s">
        <v>42</v>
      </c>
      <c r="C22" s="21">
        <v>548000</v>
      </c>
      <c r="D22" s="21">
        <v>548000</v>
      </c>
      <c r="E22" s="22">
        <f t="shared" ref="E22:E28" si="0">C22-D22</f>
        <v>0</v>
      </c>
    </row>
    <row r="23" spans="2:5" ht="15.75" customHeight="1" x14ac:dyDescent="0.3">
      <c r="B23" s="20" t="s">
        <v>43</v>
      </c>
      <c r="C23" s="21">
        <v>412000</v>
      </c>
      <c r="D23" s="21">
        <v>398000</v>
      </c>
      <c r="E23" s="22">
        <f t="shared" si="0"/>
        <v>14000</v>
      </c>
    </row>
    <row r="24" spans="2:5" ht="15.75" customHeight="1" x14ac:dyDescent="0.3">
      <c r="B24" s="20" t="s">
        <v>44</v>
      </c>
      <c r="C24" s="21">
        <v>92000</v>
      </c>
      <c r="D24" s="21">
        <v>92000</v>
      </c>
      <c r="E24" s="22">
        <f t="shared" si="0"/>
        <v>0</v>
      </c>
    </row>
    <row r="25" spans="2:5" ht="15.75" customHeight="1" x14ac:dyDescent="0.3">
      <c r="B25" s="20" t="s">
        <v>45</v>
      </c>
      <c r="C25" s="21">
        <v>135000</v>
      </c>
      <c r="D25" s="21">
        <v>110000</v>
      </c>
      <c r="E25" s="22">
        <f t="shared" si="0"/>
        <v>25000</v>
      </c>
    </row>
    <row r="26" spans="2:5" ht="15.75" customHeight="1" x14ac:dyDescent="0.3">
      <c r="B26" s="20" t="s">
        <v>46</v>
      </c>
      <c r="C26" s="21">
        <v>108000</v>
      </c>
      <c r="D26" s="21">
        <v>108000</v>
      </c>
      <c r="E26" s="22">
        <f t="shared" si="0"/>
        <v>0</v>
      </c>
    </row>
    <row r="27" spans="2:5" ht="15.75" customHeight="1" x14ac:dyDescent="0.3">
      <c r="B27" s="20" t="s">
        <v>47</v>
      </c>
      <c r="C27" s="21">
        <v>14800</v>
      </c>
      <c r="D27" s="21">
        <v>14800</v>
      </c>
      <c r="E27" s="22">
        <f t="shared" si="0"/>
        <v>0</v>
      </c>
    </row>
    <row r="28" spans="2:5" ht="15.75" customHeight="1" x14ac:dyDescent="0.3">
      <c r="B28" s="20" t="s">
        <v>48</v>
      </c>
      <c r="C28" s="21">
        <v>52000</v>
      </c>
      <c r="D28" s="21">
        <v>52000</v>
      </c>
      <c r="E28" s="22">
        <f t="shared" si="0"/>
        <v>0</v>
      </c>
    </row>
    <row r="29" spans="2:5" x14ac:dyDescent="0.3">
      <c r="B29" s="23" t="s">
        <v>49</v>
      </c>
      <c r="C29" s="24"/>
      <c r="D29" s="24"/>
      <c r="E29" s="25">
        <f>SUM(C22:C28)</f>
        <v>1361800</v>
      </c>
    </row>
    <row r="30" spans="2:5" ht="4.5" customHeight="1" x14ac:dyDescent="0.3"/>
    <row r="31" spans="2:5" x14ac:dyDescent="0.3">
      <c r="B31" s="18" t="s">
        <v>50</v>
      </c>
      <c r="C31" s="19"/>
      <c r="D31" s="19"/>
      <c r="E31" s="19"/>
    </row>
    <row r="32" spans="2:5" ht="15.75" customHeight="1" x14ac:dyDescent="0.3">
      <c r="B32" s="20" t="s">
        <v>51</v>
      </c>
      <c r="C32" s="21">
        <v>8500</v>
      </c>
      <c r="D32" s="21">
        <v>8500</v>
      </c>
      <c r="E32" s="22">
        <f>C32-D32</f>
        <v>0</v>
      </c>
    </row>
    <row r="33" spans="2:5" ht="15.75" customHeight="1" x14ac:dyDescent="0.3">
      <c r="B33" s="20" t="s">
        <v>52</v>
      </c>
      <c r="C33" s="21">
        <v>28000</v>
      </c>
      <c r="D33" s="21">
        <v>28000</v>
      </c>
      <c r="E33" s="22">
        <f>C33-D33</f>
        <v>0</v>
      </c>
    </row>
    <row r="34" spans="2:5" x14ac:dyDescent="0.3">
      <c r="B34" s="23" t="s">
        <v>53</v>
      </c>
      <c r="C34" s="24"/>
      <c r="D34" s="24"/>
      <c r="E34" s="25">
        <f>SUM(C32:C33)</f>
        <v>36500</v>
      </c>
    </row>
    <row r="35" spans="2:5" ht="4.5" customHeight="1" x14ac:dyDescent="0.3"/>
    <row r="36" spans="2:5" x14ac:dyDescent="0.3">
      <c r="B36" s="18" t="s">
        <v>54</v>
      </c>
      <c r="C36" s="19"/>
      <c r="D36" s="19"/>
      <c r="E36" s="19"/>
    </row>
    <row r="37" spans="2:5" ht="15.75" customHeight="1" x14ac:dyDescent="0.3">
      <c r="B37" s="20" t="s">
        <v>55</v>
      </c>
      <c r="C37" s="21">
        <v>142300</v>
      </c>
      <c r="D37" s="21">
        <v>155000</v>
      </c>
      <c r="E37" s="22">
        <f>C37-D37</f>
        <v>-12700</v>
      </c>
    </row>
    <row r="38" spans="2:5" ht="15.75" customHeight="1" x14ac:dyDescent="0.3">
      <c r="B38" s="20" t="s">
        <v>56</v>
      </c>
      <c r="C38" s="21">
        <v>68500</v>
      </c>
      <c r="D38" s="21">
        <v>72000</v>
      </c>
      <c r="E38" s="22">
        <f>C38-D38</f>
        <v>-3500</v>
      </c>
    </row>
    <row r="39" spans="2:5" ht="15.75" customHeight="1" x14ac:dyDescent="0.3">
      <c r="B39" s="20" t="s">
        <v>57</v>
      </c>
      <c r="C39" s="21">
        <v>88200</v>
      </c>
      <c r="D39" s="21">
        <v>92000</v>
      </c>
      <c r="E39" s="22">
        <f>C39-D39</f>
        <v>-3800</v>
      </c>
    </row>
    <row r="40" spans="2:5" ht="15.75" customHeight="1" x14ac:dyDescent="0.3">
      <c r="B40" s="20" t="s">
        <v>58</v>
      </c>
      <c r="C40" s="21">
        <v>95400</v>
      </c>
      <c r="D40" s="21">
        <v>100000</v>
      </c>
      <c r="E40" s="22">
        <f>C40-D40</f>
        <v>-4600</v>
      </c>
    </row>
    <row r="41" spans="2:5" ht="15.75" customHeight="1" x14ac:dyDescent="0.3">
      <c r="B41" s="20" t="s">
        <v>59</v>
      </c>
      <c r="C41" s="21">
        <v>42100</v>
      </c>
      <c r="D41" s="21">
        <v>45000</v>
      </c>
      <c r="E41" s="22">
        <f>C41-D41</f>
        <v>-2900</v>
      </c>
    </row>
    <row r="42" spans="2:5" x14ac:dyDescent="0.3">
      <c r="B42" s="23" t="s">
        <v>60</v>
      </c>
      <c r="C42" s="24"/>
      <c r="D42" s="24"/>
      <c r="E42" s="25">
        <f>SUM(C37:C41)</f>
        <v>436500</v>
      </c>
    </row>
    <row r="43" spans="2:5" ht="4.5" customHeight="1" x14ac:dyDescent="0.3"/>
    <row r="44" spans="2:5" x14ac:dyDescent="0.3">
      <c r="B44" s="18" t="s">
        <v>61</v>
      </c>
      <c r="C44" s="19"/>
      <c r="D44" s="19"/>
      <c r="E44" s="19"/>
    </row>
    <row r="45" spans="2:5" ht="15.75" customHeight="1" x14ac:dyDescent="0.3">
      <c r="B45" s="20" t="s">
        <v>62</v>
      </c>
      <c r="C45" s="21">
        <v>48600</v>
      </c>
      <c r="D45" s="21">
        <v>48600</v>
      </c>
      <c r="E45" s="22">
        <f>C45-D45</f>
        <v>0</v>
      </c>
    </row>
    <row r="46" spans="2:5" ht="15.75" customHeight="1" x14ac:dyDescent="0.3">
      <c r="B46" s="20" t="s">
        <v>63</v>
      </c>
      <c r="C46" s="21">
        <v>19200</v>
      </c>
      <c r="D46" s="21">
        <v>19200</v>
      </c>
      <c r="E46" s="22">
        <f>C46-D46</f>
        <v>0</v>
      </c>
    </row>
    <row r="47" spans="2:5" ht="15.75" customHeight="1" x14ac:dyDescent="0.3">
      <c r="B47" s="20" t="s">
        <v>64</v>
      </c>
      <c r="C47" s="21">
        <v>24500</v>
      </c>
      <c r="D47" s="21">
        <v>24500</v>
      </c>
      <c r="E47" s="22">
        <f>C47-D47</f>
        <v>0</v>
      </c>
    </row>
    <row r="48" spans="2:5" x14ac:dyDescent="0.3">
      <c r="B48" s="23" t="s">
        <v>65</v>
      </c>
      <c r="C48" s="24"/>
      <c r="D48" s="24"/>
      <c r="E48" s="25">
        <f>SUM(C45:C47)</f>
        <v>92300</v>
      </c>
    </row>
    <row r="49" spans="2:5" ht="4.5" customHeight="1" x14ac:dyDescent="0.3"/>
    <row r="50" spans="2:5" x14ac:dyDescent="0.3">
      <c r="B50" s="18" t="s">
        <v>66</v>
      </c>
      <c r="C50" s="19"/>
      <c r="D50" s="19"/>
      <c r="E50" s="19"/>
    </row>
    <row r="51" spans="2:5" ht="15.75" customHeight="1" x14ac:dyDescent="0.3">
      <c r="B51" s="20" t="s">
        <v>67</v>
      </c>
      <c r="C51" s="21">
        <v>88000</v>
      </c>
      <c r="D51" s="21">
        <v>88000</v>
      </c>
      <c r="E51" s="22">
        <f>C51-D51</f>
        <v>0</v>
      </c>
    </row>
    <row r="52" spans="2:5" ht="15.75" customHeight="1" x14ac:dyDescent="0.3">
      <c r="B52" s="20" t="s">
        <v>68</v>
      </c>
      <c r="C52" s="21">
        <v>0</v>
      </c>
      <c r="D52" s="21">
        <v>0</v>
      </c>
      <c r="E52" s="22">
        <f>C52-D52</f>
        <v>0</v>
      </c>
    </row>
    <row r="53" spans="2:5" ht="15.75" customHeight="1" x14ac:dyDescent="0.3">
      <c r="B53" s="20" t="s">
        <v>69</v>
      </c>
      <c r="C53" s="21">
        <v>16800</v>
      </c>
      <c r="D53" s="21">
        <v>16800</v>
      </c>
      <c r="E53" s="22">
        <f>C53-D53</f>
        <v>0</v>
      </c>
    </row>
    <row r="54" spans="2:5" x14ac:dyDescent="0.3">
      <c r="B54" s="23" t="s">
        <v>70</v>
      </c>
      <c r="C54" s="24"/>
      <c r="D54" s="24"/>
      <c r="E54" s="25">
        <f>SUM(C51:C53)</f>
        <v>104800</v>
      </c>
    </row>
    <row r="55" spans="2:5" ht="4.5" customHeight="1" x14ac:dyDescent="0.3"/>
    <row r="56" spans="2:5" ht="19.5" customHeight="1" x14ac:dyDescent="0.3">
      <c r="B56" s="26" t="s">
        <v>71</v>
      </c>
      <c r="C56" s="27">
        <f>C10+C14+C19+C29+C34+C42+C48+C54</f>
        <v>0</v>
      </c>
      <c r="D56" s="27">
        <f>D10+D14+D19+D29+D34+D42+D48+D54</f>
        <v>0</v>
      </c>
      <c r="E56" s="27">
        <f>C56-D56</f>
        <v>0</v>
      </c>
    </row>
    <row r="57" spans="2:5" ht="9.75" customHeight="1" x14ac:dyDescent="0.3"/>
    <row r="58" spans="2:5" x14ac:dyDescent="0.3">
      <c r="B58" s="16" t="s">
        <v>72</v>
      </c>
      <c r="C58" s="17"/>
      <c r="D58" s="17"/>
      <c r="E58" s="17"/>
    </row>
    <row r="59" spans="2:5" x14ac:dyDescent="0.3">
      <c r="B59" s="28" t="s">
        <v>73</v>
      </c>
      <c r="C59" s="29"/>
      <c r="D59" s="29"/>
      <c r="E59" s="29"/>
    </row>
    <row r="60" spans="2:5" ht="15.75" customHeight="1" x14ac:dyDescent="0.3">
      <c r="B60" s="20" t="s">
        <v>74</v>
      </c>
      <c r="C60" s="21">
        <v>358400</v>
      </c>
      <c r="D60" s="21">
        <v>340000</v>
      </c>
      <c r="E60" s="22">
        <f t="shared" ref="E60:E65" si="1">C60-D60</f>
        <v>18400</v>
      </c>
    </row>
    <row r="61" spans="2:5" ht="15.75" customHeight="1" x14ac:dyDescent="0.3">
      <c r="B61" s="20" t="s">
        <v>75</v>
      </c>
      <c r="C61" s="21">
        <v>28700</v>
      </c>
      <c r="D61" s="21">
        <v>0</v>
      </c>
      <c r="E61" s="22">
        <f t="shared" si="1"/>
        <v>28700</v>
      </c>
    </row>
    <row r="62" spans="2:5" ht="15.75" customHeight="1" x14ac:dyDescent="0.3">
      <c r="B62" s="20" t="s">
        <v>76</v>
      </c>
      <c r="C62" s="21">
        <v>224600</v>
      </c>
      <c r="D62" s="21">
        <v>210000</v>
      </c>
      <c r="E62" s="22">
        <f t="shared" si="1"/>
        <v>14600</v>
      </c>
    </row>
    <row r="63" spans="2:5" ht="15.75" customHeight="1" x14ac:dyDescent="0.3">
      <c r="B63" s="20" t="s">
        <v>77</v>
      </c>
      <c r="C63" s="21">
        <v>18100</v>
      </c>
      <c r="D63" s="21">
        <v>0</v>
      </c>
      <c r="E63" s="22">
        <f t="shared" si="1"/>
        <v>18100</v>
      </c>
    </row>
    <row r="64" spans="2:5" ht="15.75" customHeight="1" x14ac:dyDescent="0.3">
      <c r="B64" s="20" t="s">
        <v>78</v>
      </c>
      <c r="C64" s="21">
        <v>268500</v>
      </c>
      <c r="D64" s="21">
        <v>252000</v>
      </c>
      <c r="E64" s="22">
        <f t="shared" si="1"/>
        <v>16500</v>
      </c>
    </row>
    <row r="65" spans="2:5" ht="15.75" customHeight="1" x14ac:dyDescent="0.3">
      <c r="B65" s="20" t="s">
        <v>79</v>
      </c>
      <c r="C65" s="21">
        <v>22400</v>
      </c>
      <c r="D65" s="21">
        <v>0</v>
      </c>
      <c r="E65" s="22">
        <f t="shared" si="1"/>
        <v>22400</v>
      </c>
    </row>
    <row r="66" spans="2:5" x14ac:dyDescent="0.3">
      <c r="B66" s="30" t="s">
        <v>80</v>
      </c>
      <c r="C66" s="31"/>
      <c r="D66" s="31"/>
      <c r="E66" s="32">
        <f>SUM(C60:C65)</f>
        <v>920700</v>
      </c>
    </row>
    <row r="67" spans="2:5" ht="4.5" customHeight="1" x14ac:dyDescent="0.3"/>
    <row r="68" spans="2:5" x14ac:dyDescent="0.3">
      <c r="B68" s="28" t="s">
        <v>81</v>
      </c>
      <c r="C68" s="29"/>
      <c r="D68" s="29"/>
      <c r="E68" s="29"/>
    </row>
    <row r="69" spans="2:5" ht="15.75" customHeight="1" x14ac:dyDescent="0.3">
      <c r="B69" s="20" t="s">
        <v>82</v>
      </c>
      <c r="C69" s="21">
        <v>102800</v>
      </c>
      <c r="D69" s="21">
        <v>96000</v>
      </c>
      <c r="E69" s="22">
        <f t="shared" ref="E69:E74" si="2">C69-D69</f>
        <v>6800</v>
      </c>
    </row>
    <row r="70" spans="2:5" ht="15.75" customHeight="1" x14ac:dyDescent="0.3">
      <c r="B70" s="20" t="s">
        <v>83</v>
      </c>
      <c r="C70" s="21">
        <v>168400</v>
      </c>
      <c r="D70" s="21">
        <v>172000</v>
      </c>
      <c r="E70" s="22">
        <f t="shared" si="2"/>
        <v>-3600</v>
      </c>
    </row>
    <row r="71" spans="2:5" ht="15.75" customHeight="1" x14ac:dyDescent="0.3">
      <c r="B71" s="20" t="s">
        <v>84</v>
      </c>
      <c r="C71" s="21">
        <v>14200</v>
      </c>
      <c r="D71" s="21">
        <v>0</v>
      </c>
      <c r="E71" s="22">
        <f t="shared" si="2"/>
        <v>14200</v>
      </c>
    </row>
    <row r="72" spans="2:5" ht="15.75" customHeight="1" x14ac:dyDescent="0.3">
      <c r="B72" s="20" t="s">
        <v>85</v>
      </c>
      <c r="C72" s="21">
        <v>38500</v>
      </c>
      <c r="D72" s="21">
        <v>36000</v>
      </c>
      <c r="E72" s="22">
        <f t="shared" si="2"/>
        <v>2500</v>
      </c>
    </row>
    <row r="73" spans="2:5" ht="15.75" customHeight="1" x14ac:dyDescent="0.3">
      <c r="B73" s="20" t="s">
        <v>86</v>
      </c>
      <c r="C73" s="21">
        <v>62100</v>
      </c>
      <c r="D73" s="21">
        <v>64500</v>
      </c>
      <c r="E73" s="22">
        <f t="shared" si="2"/>
        <v>-2400</v>
      </c>
    </row>
    <row r="74" spans="2:5" ht="15.75" customHeight="1" x14ac:dyDescent="0.3">
      <c r="B74" s="20" t="s">
        <v>87</v>
      </c>
      <c r="C74" s="21">
        <v>5800</v>
      </c>
      <c r="D74" s="21">
        <v>0</v>
      </c>
      <c r="E74" s="22">
        <f t="shared" si="2"/>
        <v>5800</v>
      </c>
    </row>
    <row r="75" spans="2:5" x14ac:dyDescent="0.3">
      <c r="B75" s="30" t="s">
        <v>88</v>
      </c>
      <c r="C75" s="31"/>
      <c r="D75" s="31"/>
      <c r="E75" s="32">
        <f>SUM(C69:C74)</f>
        <v>391800</v>
      </c>
    </row>
    <row r="76" spans="2:5" ht="4.5" customHeight="1" x14ac:dyDescent="0.3"/>
    <row r="77" spans="2:5" ht="18" customHeight="1" x14ac:dyDescent="0.3">
      <c r="B77" s="33" t="s">
        <v>89</v>
      </c>
      <c r="C77" s="34">
        <f>C66+C75</f>
        <v>0</v>
      </c>
      <c r="D77" s="34">
        <f>D66+D75</f>
        <v>0</v>
      </c>
      <c r="E77" s="34">
        <f>C77-D77</f>
        <v>0</v>
      </c>
    </row>
    <row r="78" spans="2:5" ht="4.5" customHeight="1" x14ac:dyDescent="0.3"/>
    <row r="79" spans="2:5" x14ac:dyDescent="0.3">
      <c r="B79" s="28" t="s">
        <v>90</v>
      </c>
      <c r="C79" s="29"/>
      <c r="D79" s="29"/>
      <c r="E79" s="29"/>
    </row>
    <row r="80" spans="2:5" ht="15.75" customHeight="1" x14ac:dyDescent="0.3">
      <c r="B80" s="20" t="s">
        <v>91</v>
      </c>
      <c r="C80" s="21">
        <v>8200</v>
      </c>
      <c r="D80" s="21">
        <v>8200</v>
      </c>
      <c r="E80" s="22">
        <f t="shared" ref="E80:E89" si="3">C80-D80</f>
        <v>0</v>
      </c>
    </row>
    <row r="81" spans="2:5" ht="15.75" customHeight="1" x14ac:dyDescent="0.3">
      <c r="B81" s="20" t="s">
        <v>92</v>
      </c>
      <c r="C81" s="21">
        <v>42000</v>
      </c>
      <c r="D81" s="21">
        <v>42000</v>
      </c>
      <c r="E81" s="22">
        <f t="shared" si="3"/>
        <v>0</v>
      </c>
    </row>
    <row r="82" spans="2:5" ht="15.75" customHeight="1" x14ac:dyDescent="0.3">
      <c r="B82" s="20" t="s">
        <v>93</v>
      </c>
      <c r="C82" s="21">
        <v>38500</v>
      </c>
      <c r="D82" s="21">
        <v>22000</v>
      </c>
      <c r="E82" s="22">
        <f t="shared" si="3"/>
        <v>16500</v>
      </c>
    </row>
    <row r="83" spans="2:5" ht="15.75" customHeight="1" x14ac:dyDescent="0.3">
      <c r="B83" s="20" t="s">
        <v>94</v>
      </c>
      <c r="C83" s="21">
        <v>6800</v>
      </c>
      <c r="D83" s="21">
        <v>6800</v>
      </c>
      <c r="E83" s="22">
        <f t="shared" si="3"/>
        <v>0</v>
      </c>
    </row>
    <row r="84" spans="2:5" ht="15.75" customHeight="1" x14ac:dyDescent="0.3">
      <c r="B84" s="20" t="s">
        <v>95</v>
      </c>
      <c r="C84" s="21">
        <v>55000</v>
      </c>
      <c r="D84" s="21">
        <v>55000</v>
      </c>
      <c r="E84" s="22">
        <f t="shared" si="3"/>
        <v>0</v>
      </c>
    </row>
    <row r="85" spans="2:5" ht="15.75" customHeight="1" x14ac:dyDescent="0.3">
      <c r="B85" s="20" t="s">
        <v>96</v>
      </c>
      <c r="C85" s="21">
        <v>75000</v>
      </c>
      <c r="D85" s="21">
        <v>75000</v>
      </c>
      <c r="E85" s="22">
        <f t="shared" si="3"/>
        <v>0</v>
      </c>
    </row>
    <row r="86" spans="2:5" ht="15.75" customHeight="1" x14ac:dyDescent="0.3">
      <c r="B86" s="20" t="s">
        <v>97</v>
      </c>
      <c r="C86" s="21">
        <v>41800</v>
      </c>
      <c r="D86" s="21">
        <v>41800</v>
      </c>
      <c r="E86" s="22">
        <f t="shared" si="3"/>
        <v>0</v>
      </c>
    </row>
    <row r="87" spans="2:5" ht="15.75" customHeight="1" x14ac:dyDescent="0.3">
      <c r="B87" s="20" t="s">
        <v>98</v>
      </c>
      <c r="C87" s="21">
        <v>24600</v>
      </c>
      <c r="D87" s="21">
        <v>24600</v>
      </c>
      <c r="E87" s="22">
        <f t="shared" si="3"/>
        <v>0</v>
      </c>
    </row>
    <row r="88" spans="2:5" ht="15.75" customHeight="1" x14ac:dyDescent="0.3">
      <c r="B88" s="20" t="s">
        <v>99</v>
      </c>
      <c r="C88" s="21">
        <v>18200</v>
      </c>
      <c r="D88" s="21">
        <v>18200</v>
      </c>
      <c r="E88" s="22">
        <f t="shared" si="3"/>
        <v>0</v>
      </c>
    </row>
    <row r="89" spans="2:5" ht="15.75" customHeight="1" x14ac:dyDescent="0.3">
      <c r="B89" s="20" t="s">
        <v>100</v>
      </c>
      <c r="C89" s="21">
        <v>12400</v>
      </c>
      <c r="D89" s="21">
        <v>12400</v>
      </c>
      <c r="E89" s="22">
        <f t="shared" si="3"/>
        <v>0</v>
      </c>
    </row>
    <row r="90" spans="2:5" x14ac:dyDescent="0.3">
      <c r="B90" s="23" t="s">
        <v>101</v>
      </c>
      <c r="C90" s="24"/>
      <c r="D90" s="24"/>
      <c r="E90" s="25">
        <f>SUM(C80:C89)</f>
        <v>322500</v>
      </c>
    </row>
    <row r="91" spans="2:5" ht="4.5" customHeight="1" x14ac:dyDescent="0.3"/>
    <row r="92" spans="2:5" ht="19.5" customHeight="1" x14ac:dyDescent="0.3">
      <c r="B92" s="26" t="s">
        <v>102</v>
      </c>
      <c r="C92" s="27">
        <f>C77+C90</f>
        <v>0</v>
      </c>
      <c r="D92" s="27">
        <f>D77+D90</f>
        <v>0</v>
      </c>
      <c r="E92" s="27">
        <f>C92-D92</f>
        <v>0</v>
      </c>
    </row>
    <row r="93" spans="2:5" ht="9.75" customHeight="1" x14ac:dyDescent="0.3"/>
    <row r="94" spans="2:5" x14ac:dyDescent="0.3">
      <c r="B94" s="35" t="s">
        <v>103</v>
      </c>
      <c r="C94" s="36"/>
      <c r="D94" s="36"/>
      <c r="E94" s="36"/>
    </row>
    <row r="95" spans="2:5" ht="15.75" customHeight="1" x14ac:dyDescent="0.3">
      <c r="B95" s="37" t="s">
        <v>104</v>
      </c>
      <c r="C95" s="22">
        <f>C56-C92</f>
        <v>0</v>
      </c>
    </row>
    <row r="96" spans="2:5" ht="4.5" customHeight="1" x14ac:dyDescent="0.3"/>
    <row r="97" spans="2:5" x14ac:dyDescent="0.3">
      <c r="B97" s="38" t="s">
        <v>105</v>
      </c>
      <c r="C97" s="36"/>
      <c r="D97" s="36"/>
      <c r="E97" s="36"/>
    </row>
    <row r="98" spans="2:5" ht="15.75" customHeight="1" x14ac:dyDescent="0.3">
      <c r="B98" s="20" t="s">
        <v>106</v>
      </c>
      <c r="C98" s="21">
        <v>60000</v>
      </c>
    </row>
    <row r="99" spans="2:5" ht="15.75" customHeight="1" x14ac:dyDescent="0.3">
      <c r="B99" s="20" t="s">
        <v>107</v>
      </c>
      <c r="C99" s="21">
        <v>130000</v>
      </c>
    </row>
    <row r="100" spans="2:5" ht="15.75" customHeight="1" x14ac:dyDescent="0.3">
      <c r="B100" s="20" t="s">
        <v>108</v>
      </c>
      <c r="C100" s="22">
        <f>C95-60000-130000-75000-18000</f>
        <v>-283000</v>
      </c>
    </row>
    <row r="101" spans="2:5" ht="15.75" customHeight="1" x14ac:dyDescent="0.3">
      <c r="B101" s="20" t="s">
        <v>109</v>
      </c>
      <c r="C101" s="21">
        <v>75000</v>
      </c>
    </row>
    <row r="102" spans="2:5" ht="15.75" customHeight="1" x14ac:dyDescent="0.3">
      <c r="B102" s="20" t="s">
        <v>110</v>
      </c>
      <c r="C102" s="21">
        <v>18000</v>
      </c>
    </row>
    <row r="103" spans="2:5" x14ac:dyDescent="0.3">
      <c r="B103" s="39" t="s">
        <v>111</v>
      </c>
      <c r="C103" s="40"/>
      <c r="D103" s="41"/>
      <c r="E103" s="42">
        <f>SUM(C98:C102)</f>
        <v>0</v>
      </c>
    </row>
    <row r="104" spans="2:5" ht="9.75" customHeight="1" x14ac:dyDescent="0.3"/>
    <row r="105" spans="2:5" x14ac:dyDescent="0.3">
      <c r="B105" s="43" t="s">
        <v>112</v>
      </c>
      <c r="C105" s="44"/>
      <c r="D105" s="44"/>
      <c r="E105" s="44"/>
    </row>
    <row r="106" spans="2:5" ht="15.75" customHeight="1" x14ac:dyDescent="0.3">
      <c r="B106" s="20" t="s">
        <v>113</v>
      </c>
      <c r="C106" s="22">
        <f>C56</f>
        <v>0</v>
      </c>
    </row>
    <row r="107" spans="2:5" ht="15.75" customHeight="1" x14ac:dyDescent="0.3">
      <c r="B107" s="20" t="s">
        <v>114</v>
      </c>
      <c r="C107" s="22">
        <f>C92+C103</f>
        <v>0</v>
      </c>
    </row>
    <row r="108" spans="2:5" ht="15.75" customHeight="1" x14ac:dyDescent="0.3">
      <c r="B108" s="45" t="s">
        <v>115</v>
      </c>
      <c r="C108" s="46">
        <f>C106-C107</f>
        <v>0</v>
      </c>
    </row>
  </sheetData>
  <mergeCells count="2">
    <mergeCell ref="B2:E2"/>
    <mergeCell ref="B3:E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59"/>
  <sheetViews>
    <sheetView showGridLines="0" topLeftCell="A37" zoomScaleNormal="100" workbookViewId="0"/>
  </sheetViews>
  <sheetFormatPr defaultColWidth="8.6640625" defaultRowHeight="14.4" x14ac:dyDescent="0.3"/>
  <cols>
    <col min="1" max="1" width="2" customWidth="1"/>
    <col min="2" max="2" width="46" customWidth="1"/>
    <col min="3" max="4" width="18" customWidth="1"/>
    <col min="5" max="5" width="2" customWidth="1"/>
  </cols>
  <sheetData>
    <row r="2" spans="2:4" ht="16.8" x14ac:dyDescent="0.3">
      <c r="B2" s="2" t="s">
        <v>116</v>
      </c>
      <c r="C2" s="2"/>
      <c r="D2" s="2"/>
    </row>
    <row r="3" spans="2:4" x14ac:dyDescent="0.3">
      <c r="B3" s="1" t="s">
        <v>117</v>
      </c>
      <c r="C3" s="1"/>
      <c r="D3" s="1"/>
    </row>
    <row r="4" spans="2:4" ht="6" customHeight="1" x14ac:dyDescent="0.3"/>
    <row r="5" spans="2:4" ht="24" customHeight="1" x14ac:dyDescent="0.3">
      <c r="B5" s="16" t="s">
        <v>118</v>
      </c>
      <c r="C5" s="47" t="s">
        <v>119</v>
      </c>
      <c r="D5" s="47" t="s">
        <v>120</v>
      </c>
    </row>
    <row r="6" spans="2:4" x14ac:dyDescent="0.3">
      <c r="B6" s="16" t="s">
        <v>121</v>
      </c>
      <c r="C6" s="17"/>
      <c r="D6" s="17"/>
    </row>
    <row r="7" spans="2:4" x14ac:dyDescent="0.3">
      <c r="B7" s="28" t="s">
        <v>122</v>
      </c>
      <c r="C7" s="29"/>
      <c r="D7" s="29"/>
    </row>
    <row r="8" spans="2:4" ht="15.75" customHeight="1" x14ac:dyDescent="0.3">
      <c r="B8" s="20" t="s">
        <v>123</v>
      </c>
      <c r="C8" s="21">
        <v>18400</v>
      </c>
      <c r="D8" s="21">
        <v>18400</v>
      </c>
    </row>
    <row r="9" spans="2:4" ht="15.75" customHeight="1" x14ac:dyDescent="0.3">
      <c r="B9" s="20" t="s">
        <v>124</v>
      </c>
      <c r="C9" s="21">
        <v>12200</v>
      </c>
      <c r="D9" s="21">
        <v>12200</v>
      </c>
    </row>
    <row r="10" spans="2:4" ht="15.75" customHeight="1" x14ac:dyDescent="0.3">
      <c r="B10" s="20" t="s">
        <v>125</v>
      </c>
      <c r="C10" s="21">
        <v>82500</v>
      </c>
      <c r="D10" s="21">
        <v>62000</v>
      </c>
    </row>
    <row r="11" spans="2:4" ht="15.75" customHeight="1" x14ac:dyDescent="0.3">
      <c r="B11" s="20" t="s">
        <v>126</v>
      </c>
      <c r="C11" s="21">
        <v>24800</v>
      </c>
      <c r="D11" s="21">
        <v>24800</v>
      </c>
    </row>
    <row r="12" spans="2:4" ht="15.75" customHeight="1" x14ac:dyDescent="0.3">
      <c r="B12" s="20" t="s">
        <v>127</v>
      </c>
      <c r="C12" s="21">
        <v>15200</v>
      </c>
      <c r="D12" s="21">
        <v>15200</v>
      </c>
    </row>
    <row r="13" spans="2:4" ht="15.75" customHeight="1" x14ac:dyDescent="0.3">
      <c r="B13" s="20" t="s">
        <v>128</v>
      </c>
      <c r="C13" s="21">
        <v>8600</v>
      </c>
      <c r="D13" s="21">
        <v>8600</v>
      </c>
    </row>
    <row r="14" spans="2:4" ht="16.5" customHeight="1" x14ac:dyDescent="0.3">
      <c r="B14" s="23" t="s">
        <v>129</v>
      </c>
      <c r="C14" s="48">
        <f>SQRT(SUMPRODUCT((C8:C13),(C8:C13)))*0.88</f>
        <v>79753.881009014221</v>
      </c>
      <c r="D14" s="25">
        <f>SQRT(SUMPRODUCT((D8:D13),(D8:D13)))*0.88</f>
        <v>63770.801594460136</v>
      </c>
    </row>
    <row r="15" spans="2:4" ht="4.5" customHeight="1" x14ac:dyDescent="0.3"/>
    <row r="16" spans="2:4" x14ac:dyDescent="0.3">
      <c r="B16" s="28" t="s">
        <v>130</v>
      </c>
      <c r="C16" s="29"/>
      <c r="D16" s="29"/>
    </row>
    <row r="17" spans="2:4" ht="15.75" customHeight="1" x14ac:dyDescent="0.3">
      <c r="B17" s="20" t="s">
        <v>131</v>
      </c>
      <c r="C17" s="21">
        <v>68400</v>
      </c>
      <c r="D17" s="21">
        <v>52000</v>
      </c>
    </row>
    <row r="18" spans="2:4" ht="15.75" customHeight="1" x14ac:dyDescent="0.3">
      <c r="B18" s="20" t="s">
        <v>132</v>
      </c>
      <c r="C18" s="21">
        <v>8200</v>
      </c>
      <c r="D18" s="21">
        <v>8200</v>
      </c>
    </row>
    <row r="19" spans="2:4" ht="15.75" customHeight="1" x14ac:dyDescent="0.3">
      <c r="B19" s="20" t="s">
        <v>133</v>
      </c>
      <c r="C19" s="21">
        <v>44600</v>
      </c>
      <c r="D19" s="21">
        <v>38000</v>
      </c>
    </row>
    <row r="20" spans="2:4" ht="15.75" customHeight="1" x14ac:dyDescent="0.3">
      <c r="B20" s="20" t="s">
        <v>134</v>
      </c>
      <c r="C20" s="21">
        <v>28500</v>
      </c>
      <c r="D20" s="21">
        <v>20000</v>
      </c>
    </row>
    <row r="21" spans="2:4" ht="16.5" customHeight="1" x14ac:dyDescent="0.3">
      <c r="B21" s="23" t="s">
        <v>135</v>
      </c>
      <c r="C21" s="25">
        <f>SQRT(SUMPRODUCT((C17:C20),(C17:C20)))*0.9</f>
        <v>78187.2118699727</v>
      </c>
      <c r="D21" s="25">
        <f>SQRT(SUMPRODUCT((D17:D20),(D17:D20)))*0.9</f>
        <v>61142.001929933569</v>
      </c>
    </row>
    <row r="22" spans="2:4" ht="4.5" customHeight="1" x14ac:dyDescent="0.3"/>
    <row r="23" spans="2:4" x14ac:dyDescent="0.3">
      <c r="B23" s="28" t="s">
        <v>136</v>
      </c>
      <c r="C23" s="29"/>
      <c r="D23" s="29"/>
    </row>
    <row r="24" spans="2:4" ht="15.75" customHeight="1" x14ac:dyDescent="0.3">
      <c r="B24" s="20" t="s">
        <v>137</v>
      </c>
      <c r="C24" s="21">
        <v>55800</v>
      </c>
      <c r="D24" s="21">
        <v>55800</v>
      </c>
    </row>
    <row r="25" spans="2:4" ht="15.75" customHeight="1" x14ac:dyDescent="0.3">
      <c r="B25" s="20" t="s">
        <v>138</v>
      </c>
      <c r="C25" s="21">
        <v>38400</v>
      </c>
      <c r="D25" s="21">
        <v>38400</v>
      </c>
    </row>
    <row r="26" spans="2:4" ht="15.75" customHeight="1" x14ac:dyDescent="0.3">
      <c r="B26" s="20" t="s">
        <v>139</v>
      </c>
      <c r="C26" s="21">
        <v>22100</v>
      </c>
      <c r="D26" s="21">
        <v>22100</v>
      </c>
    </row>
    <row r="27" spans="2:4" ht="15.75" customHeight="1" x14ac:dyDescent="0.3">
      <c r="B27" s="20" t="s">
        <v>140</v>
      </c>
      <c r="C27" s="21">
        <v>28400</v>
      </c>
      <c r="D27" s="21">
        <v>28400</v>
      </c>
    </row>
    <row r="28" spans="2:4" ht="15.75" customHeight="1" x14ac:dyDescent="0.3">
      <c r="B28" s="20" t="s">
        <v>141</v>
      </c>
      <c r="C28" s="21">
        <v>4800</v>
      </c>
      <c r="D28" s="21">
        <v>4800</v>
      </c>
    </row>
    <row r="29" spans="2:4" ht="15.75" customHeight="1" x14ac:dyDescent="0.3">
      <c r="B29" s="20" t="s">
        <v>142</v>
      </c>
      <c r="C29" s="21">
        <v>12200</v>
      </c>
      <c r="D29" s="21">
        <v>12200</v>
      </c>
    </row>
    <row r="30" spans="2:4" ht="16.5" customHeight="1" x14ac:dyDescent="0.3">
      <c r="B30" s="23" t="s">
        <v>143</v>
      </c>
      <c r="C30" s="25">
        <f>SQRT(SUMPRODUCT((C24:C29),(C24:C29)))*0.85</f>
        <v>66142.071520326601</v>
      </c>
      <c r="D30" s="25">
        <f>SQRT(SUMPRODUCT((D24:D29),(D24:D29)))*0.85</f>
        <v>66142.071520326601</v>
      </c>
    </row>
    <row r="31" spans="2:4" ht="4.5" customHeight="1" x14ac:dyDescent="0.3"/>
    <row r="32" spans="2:4" x14ac:dyDescent="0.3">
      <c r="B32" s="28" t="s">
        <v>144</v>
      </c>
      <c r="C32" s="29"/>
      <c r="D32" s="29"/>
    </row>
    <row r="33" spans="2:4" ht="15.75" customHeight="1" x14ac:dyDescent="0.3">
      <c r="B33" s="20" t="s">
        <v>145</v>
      </c>
      <c r="C33" s="21">
        <v>22800</v>
      </c>
      <c r="D33" s="21">
        <v>22800</v>
      </c>
    </row>
    <row r="34" spans="2:4" ht="15.75" customHeight="1" x14ac:dyDescent="0.3">
      <c r="B34" s="20" t="s">
        <v>146</v>
      </c>
      <c r="C34" s="21">
        <v>6400</v>
      </c>
      <c r="D34" s="21">
        <v>6400</v>
      </c>
    </row>
    <row r="35" spans="2:4" ht="16.5" customHeight="1" x14ac:dyDescent="0.3">
      <c r="B35" s="23" t="s">
        <v>144</v>
      </c>
      <c r="C35" s="25">
        <f>C33+C34</f>
        <v>29200</v>
      </c>
      <c r="D35" s="25">
        <f>D33+D34</f>
        <v>29200</v>
      </c>
    </row>
    <row r="36" spans="2:4" ht="4.5" customHeight="1" x14ac:dyDescent="0.3"/>
    <row r="37" spans="2:4" x14ac:dyDescent="0.3">
      <c r="B37" s="28" t="s">
        <v>147</v>
      </c>
      <c r="C37" s="29"/>
      <c r="D37" s="29"/>
    </row>
    <row r="38" spans="2:4" ht="15.75" customHeight="1" x14ac:dyDescent="0.3">
      <c r="B38" s="20" t="s">
        <v>148</v>
      </c>
      <c r="C38" s="21">
        <v>18600</v>
      </c>
      <c r="D38" s="21">
        <v>18600</v>
      </c>
    </row>
    <row r="39" spans="2:4" ht="15.75" customHeight="1" x14ac:dyDescent="0.3">
      <c r="B39" s="20" t="s">
        <v>149</v>
      </c>
      <c r="C39" s="21">
        <v>9200</v>
      </c>
      <c r="D39" s="21">
        <v>9200</v>
      </c>
    </row>
    <row r="40" spans="2:4" ht="16.5" customHeight="1" x14ac:dyDescent="0.3">
      <c r="B40" s="23" t="s">
        <v>147</v>
      </c>
      <c r="C40" s="25">
        <f>C38+C39</f>
        <v>27800</v>
      </c>
      <c r="D40" s="25">
        <f>D38+D39</f>
        <v>27800</v>
      </c>
    </row>
    <row r="41" spans="2:4" ht="4.5" customHeight="1" x14ac:dyDescent="0.3"/>
    <row r="42" spans="2:4" ht="19.5" customHeight="1" x14ac:dyDescent="0.3">
      <c r="B42" s="49" t="s">
        <v>150</v>
      </c>
      <c r="C42" s="50">
        <f>SQRT(C14^2+C21^2+C30^2+C35^2)*0.92</f>
        <v>122402.65587359777</v>
      </c>
      <c r="D42" s="50">
        <f>SQRT(D14^2+D21^2+D30^2+D35^2)*0.92</f>
        <v>105027.06928916182</v>
      </c>
    </row>
    <row r="43" spans="2:4" ht="4.5" customHeight="1" x14ac:dyDescent="0.3"/>
    <row r="44" spans="2:4" x14ac:dyDescent="0.3">
      <c r="B44" s="16" t="s">
        <v>151</v>
      </c>
      <c r="C44" s="17"/>
      <c r="D44" s="17"/>
    </row>
    <row r="45" spans="2:4" ht="15.75" customHeight="1" x14ac:dyDescent="0.3">
      <c r="B45" s="37" t="s">
        <v>152</v>
      </c>
      <c r="C45" s="22">
        <f>C42</f>
        <v>122402.65587359777</v>
      </c>
      <c r="D45" s="22">
        <f>D42</f>
        <v>105027.06928916182</v>
      </c>
    </row>
    <row r="46" spans="2:4" ht="15.75" customHeight="1" x14ac:dyDescent="0.3">
      <c r="B46" s="37" t="s">
        <v>153</v>
      </c>
      <c r="C46" s="22">
        <f>C40</f>
        <v>27800</v>
      </c>
      <c r="D46" s="22">
        <f>D40</f>
        <v>27800</v>
      </c>
    </row>
    <row r="47" spans="2:4" ht="15.75" customHeight="1" x14ac:dyDescent="0.3">
      <c r="B47" s="37" t="s">
        <v>154</v>
      </c>
      <c r="C47" s="21">
        <v>-28400</v>
      </c>
      <c r="D47" s="21">
        <v>-20000</v>
      </c>
    </row>
    <row r="48" spans="2:4" ht="15.75" customHeight="1" x14ac:dyDescent="0.3">
      <c r="B48" s="37" t="s">
        <v>155</v>
      </c>
      <c r="C48" s="21">
        <v>-18600</v>
      </c>
      <c r="D48" s="21">
        <v>-12000</v>
      </c>
    </row>
    <row r="49" spans="2:4" ht="16.5" customHeight="1" x14ac:dyDescent="0.3">
      <c r="B49" s="39" t="s">
        <v>156</v>
      </c>
      <c r="C49" s="51">
        <f>C45+C46+C47+C48</f>
        <v>103202.65587359777</v>
      </c>
      <c r="D49" s="51">
        <f>D45+D46+D47+D48</f>
        <v>100827.06928916182</v>
      </c>
    </row>
    <row r="50" spans="2:4" ht="4.5" customHeight="1" x14ac:dyDescent="0.3"/>
    <row r="51" spans="2:4" ht="15.75" customHeight="1" x14ac:dyDescent="0.3">
      <c r="B51" s="37" t="s">
        <v>157</v>
      </c>
      <c r="C51" s="22">
        <f>MAX(0.25*C49,MIN(0.45*C49,50000))</f>
        <v>46441.195143119003</v>
      </c>
    </row>
    <row r="52" spans="2:4" ht="4.5" customHeight="1" x14ac:dyDescent="0.3"/>
    <row r="53" spans="2:4" x14ac:dyDescent="0.3">
      <c r="B53" s="16" t="s">
        <v>158</v>
      </c>
      <c r="C53" s="17"/>
      <c r="D53" s="17"/>
    </row>
    <row r="54" spans="2:4" ht="15.75" customHeight="1" x14ac:dyDescent="0.3">
      <c r="B54" s="37" t="s">
        <v>159</v>
      </c>
      <c r="C54" s="52">
        <f>'SII Balance Sheet'!C103</f>
        <v>0</v>
      </c>
    </row>
    <row r="55" spans="2:4" ht="15.75" customHeight="1" x14ac:dyDescent="0.3">
      <c r="B55" s="37" t="s">
        <v>160</v>
      </c>
      <c r="C55" s="22">
        <f>C54</f>
        <v>0</v>
      </c>
    </row>
    <row r="56" spans="2:4" ht="15.75" customHeight="1" x14ac:dyDescent="0.3">
      <c r="B56" s="37" t="s">
        <v>161</v>
      </c>
      <c r="C56" s="22">
        <f>C54-18000</f>
        <v>-18000</v>
      </c>
    </row>
    <row r="57" spans="2:4" ht="4.5" customHeight="1" x14ac:dyDescent="0.3"/>
    <row r="58" spans="2:4" ht="16.5" customHeight="1" x14ac:dyDescent="0.3">
      <c r="B58" s="53" t="s">
        <v>162</v>
      </c>
      <c r="C58" s="54">
        <f>IF(C49&gt;0,C55/C49,"-")</f>
        <v>0</v>
      </c>
      <c r="D58" s="55"/>
    </row>
    <row r="59" spans="2:4" ht="16.5" customHeight="1" x14ac:dyDescent="0.3">
      <c r="B59" s="53" t="s">
        <v>163</v>
      </c>
      <c r="C59" s="56">
        <f>IF(C51&gt;0,C56/C51,"-")</f>
        <v>-0.38758692459418725</v>
      </c>
      <c r="D59" s="55"/>
    </row>
  </sheetData>
  <mergeCells count="2">
    <mergeCell ref="B2:D2"/>
    <mergeCell ref="B3:D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C41"/>
  <sheetViews>
    <sheetView showGridLines="0" zoomScaleNormal="100" workbookViewId="0"/>
  </sheetViews>
  <sheetFormatPr defaultColWidth="8.6640625" defaultRowHeight="14.4" x14ac:dyDescent="0.3"/>
  <cols>
    <col min="1" max="1" width="2" customWidth="1"/>
    <col min="2" max="2" width="38" customWidth="1"/>
    <col min="3" max="3" width="81.109375" customWidth="1"/>
    <col min="4" max="4" width="2" customWidth="1"/>
  </cols>
  <sheetData>
    <row r="2" spans="2:3" ht="16.8" x14ac:dyDescent="0.3">
      <c r="B2" s="2" t="s">
        <v>164</v>
      </c>
      <c r="C2" s="2"/>
    </row>
    <row r="3" spans="2:3" ht="6" customHeight="1" x14ac:dyDescent="0.3"/>
    <row r="4" spans="2:3" ht="16.5" customHeight="1" x14ac:dyDescent="0.3">
      <c r="B4" s="16" t="s">
        <v>165</v>
      </c>
      <c r="C4" s="17"/>
    </row>
    <row r="5" spans="2:3" ht="24.75" customHeight="1" x14ac:dyDescent="0.3">
      <c r="B5" s="57" t="s">
        <v>166</v>
      </c>
      <c r="C5" s="58" t="s">
        <v>167</v>
      </c>
    </row>
    <row r="6" spans="2:3" ht="18" customHeight="1" x14ac:dyDescent="0.3">
      <c r="B6" s="57" t="s">
        <v>168</v>
      </c>
      <c r="C6" s="58" t="s">
        <v>169</v>
      </c>
    </row>
    <row r="7" spans="2:3" ht="16.5" customHeight="1" x14ac:dyDescent="0.3">
      <c r="B7" s="57" t="s">
        <v>170</v>
      </c>
      <c r="C7" s="59" t="s">
        <v>8</v>
      </c>
    </row>
    <row r="8" spans="2:3" ht="4.5" customHeight="1" x14ac:dyDescent="0.3"/>
    <row r="9" spans="2:3" ht="16.5" customHeight="1" x14ac:dyDescent="0.3">
      <c r="B9" s="16" t="s">
        <v>171</v>
      </c>
      <c r="C9" s="17"/>
    </row>
    <row r="10" spans="2:3" ht="24" customHeight="1" x14ac:dyDescent="0.3">
      <c r="B10" s="57" t="s">
        <v>172</v>
      </c>
      <c r="C10" s="58" t="s">
        <v>173</v>
      </c>
    </row>
    <row r="11" spans="2:3" ht="18" customHeight="1" x14ac:dyDescent="0.3">
      <c r="B11" s="57" t="s">
        <v>174</v>
      </c>
      <c r="C11" s="58" t="s">
        <v>175</v>
      </c>
    </row>
    <row r="12" spans="2:3" ht="24" customHeight="1" x14ac:dyDescent="0.3">
      <c r="B12" s="57" t="s">
        <v>176</v>
      </c>
      <c r="C12" s="58" t="s">
        <v>177</v>
      </c>
    </row>
    <row r="13" spans="2:3" ht="4.5" customHeight="1" x14ac:dyDescent="0.3"/>
    <row r="14" spans="2:3" ht="16.5" customHeight="1" x14ac:dyDescent="0.3">
      <c r="B14" s="16" t="s">
        <v>178</v>
      </c>
      <c r="C14" s="17"/>
    </row>
    <row r="15" spans="2:3" ht="22.5" customHeight="1" x14ac:dyDescent="0.3">
      <c r="B15" s="57" t="s">
        <v>179</v>
      </c>
      <c r="C15" s="58" t="s">
        <v>180</v>
      </c>
    </row>
    <row r="16" spans="2:3" ht="21" customHeight="1" x14ac:dyDescent="0.3">
      <c r="B16" s="57" t="s">
        <v>181</v>
      </c>
      <c r="C16" s="58" t="s">
        <v>182</v>
      </c>
    </row>
    <row r="17" spans="2:3" ht="21" customHeight="1" x14ac:dyDescent="0.3">
      <c r="B17" s="57" t="s">
        <v>183</v>
      </c>
      <c r="C17" s="58" t="s">
        <v>184</v>
      </c>
    </row>
    <row r="18" spans="2:3" ht="19.5" customHeight="1" x14ac:dyDescent="0.3">
      <c r="B18" s="57" t="s">
        <v>185</v>
      </c>
      <c r="C18" s="58" t="s">
        <v>186</v>
      </c>
    </row>
    <row r="19" spans="2:3" ht="24" customHeight="1" x14ac:dyDescent="0.3">
      <c r="B19" s="57" t="s">
        <v>187</v>
      </c>
      <c r="C19" s="58" t="s">
        <v>188</v>
      </c>
    </row>
    <row r="20" spans="2:3" ht="18.75" customHeight="1" x14ac:dyDescent="0.3">
      <c r="B20" s="57" t="s">
        <v>189</v>
      </c>
      <c r="C20" s="58" t="s">
        <v>190</v>
      </c>
    </row>
    <row r="21" spans="2:3" ht="4.5" customHeight="1" x14ac:dyDescent="0.3"/>
    <row r="22" spans="2:3" ht="16.5" customHeight="1" x14ac:dyDescent="0.3">
      <c r="B22" s="16" t="s">
        <v>191</v>
      </c>
      <c r="C22" s="17"/>
    </row>
    <row r="23" spans="2:3" ht="21.75" customHeight="1" x14ac:dyDescent="0.3">
      <c r="B23" s="57" t="s">
        <v>192</v>
      </c>
      <c r="C23" s="58" t="s">
        <v>193</v>
      </c>
    </row>
    <row r="24" spans="2:3" ht="19.5" customHeight="1" x14ac:dyDescent="0.3">
      <c r="B24" s="57" t="s">
        <v>194</v>
      </c>
      <c r="C24" s="58" t="s">
        <v>195</v>
      </c>
    </row>
    <row r="25" spans="2:3" ht="22.5" customHeight="1" x14ac:dyDescent="0.3">
      <c r="B25" s="57" t="s">
        <v>196</v>
      </c>
      <c r="C25" s="58" t="s">
        <v>197</v>
      </c>
    </row>
    <row r="26" spans="2:3" ht="16.5" customHeight="1" x14ac:dyDescent="0.3">
      <c r="B26" s="57" t="s">
        <v>198</v>
      </c>
      <c r="C26" s="59" t="s">
        <v>199</v>
      </c>
    </row>
    <row r="27" spans="2:3" ht="21" customHeight="1" x14ac:dyDescent="0.3">
      <c r="B27" s="57" t="s">
        <v>200</v>
      </c>
      <c r="C27" s="58" t="s">
        <v>201</v>
      </c>
    </row>
    <row r="28" spans="2:3" ht="4.5" customHeight="1" x14ac:dyDescent="0.3"/>
    <row r="29" spans="2:3" ht="16.5" customHeight="1" x14ac:dyDescent="0.3">
      <c r="B29" s="16" t="s">
        <v>202</v>
      </c>
      <c r="C29" s="17"/>
    </row>
    <row r="30" spans="2:3" ht="21.75" customHeight="1" x14ac:dyDescent="0.3">
      <c r="B30" s="57" t="s">
        <v>203</v>
      </c>
      <c r="C30" s="58" t="s">
        <v>204</v>
      </c>
    </row>
    <row r="31" spans="2:3" ht="21" customHeight="1" x14ac:dyDescent="0.3">
      <c r="B31" s="57" t="s">
        <v>205</v>
      </c>
      <c r="C31" s="58" t="s">
        <v>206</v>
      </c>
    </row>
    <row r="32" spans="2:3" ht="18.75" customHeight="1" x14ac:dyDescent="0.3">
      <c r="B32" s="57" t="s">
        <v>207</v>
      </c>
      <c r="C32" s="58" t="s">
        <v>208</v>
      </c>
    </row>
    <row r="33" spans="2:3" ht="16.5" customHeight="1" x14ac:dyDescent="0.3">
      <c r="B33" s="57" t="s">
        <v>209</v>
      </c>
      <c r="C33" s="59" t="s">
        <v>210</v>
      </c>
    </row>
    <row r="34" spans="2:3" ht="22.5" customHeight="1" x14ac:dyDescent="0.3">
      <c r="B34" s="57" t="s">
        <v>211</v>
      </c>
      <c r="C34" s="58" t="s">
        <v>212</v>
      </c>
    </row>
    <row r="35" spans="2:3" ht="21.75" customHeight="1" x14ac:dyDescent="0.3">
      <c r="B35" s="57" t="s">
        <v>213</v>
      </c>
      <c r="C35" s="58" t="s">
        <v>214</v>
      </c>
    </row>
    <row r="36" spans="2:3" ht="4.5" customHeight="1" x14ac:dyDescent="0.3"/>
    <row r="37" spans="2:3" ht="16.5" customHeight="1" x14ac:dyDescent="0.3">
      <c r="B37" s="16" t="s">
        <v>215</v>
      </c>
      <c r="C37" s="17"/>
    </row>
    <row r="38" spans="2:3" ht="18.75" customHeight="1" x14ac:dyDescent="0.3">
      <c r="B38" s="57" t="s">
        <v>216</v>
      </c>
      <c r="C38" s="58" t="s">
        <v>217</v>
      </c>
    </row>
    <row r="39" spans="2:3" ht="21.75" customHeight="1" x14ac:dyDescent="0.3">
      <c r="B39" s="57" t="s">
        <v>218</v>
      </c>
      <c r="C39" s="58" t="s">
        <v>219</v>
      </c>
    </row>
    <row r="40" spans="2:3" ht="22.5" customHeight="1" x14ac:dyDescent="0.3">
      <c r="B40" s="57" t="s">
        <v>45</v>
      </c>
      <c r="C40" s="58" t="s">
        <v>220</v>
      </c>
    </row>
    <row r="41" spans="2:3" ht="21.75" customHeight="1" x14ac:dyDescent="0.3">
      <c r="B41" s="57" t="s">
        <v>221</v>
      </c>
      <c r="C41" s="58" t="s">
        <v>222</v>
      </c>
    </row>
  </sheetData>
  <mergeCells count="1">
    <mergeCell ref="B2:C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SII Balance Sheet</vt:lpstr>
      <vt:lpstr>SCR &amp; Own Funds</vt:lpstr>
      <vt:lpstr>Assumptions &amp;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Girish Rao</cp:lastModifiedBy>
  <cp:revision>0</cp:revision>
  <dcterms:created xsi:type="dcterms:W3CDTF">2026-04-16T00:06:48Z</dcterms:created>
  <dcterms:modified xsi:type="dcterms:W3CDTF">2026-04-16T02:17:53Z</dcterms:modified>
  <dc:language>en-US</dc:language>
</cp:coreProperties>
</file>